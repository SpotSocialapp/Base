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d9840ec7d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3a9ba6da0b04d22"/>
    <x:sheet xmlns:r="http://schemas.openxmlformats.org/officeDocument/2006/relationships" name="Inputs" sheetId="2" r:id="R0e69b8ba17eb4132"/>
    <x:sheet xmlns:r="http://schemas.openxmlformats.org/officeDocument/2006/relationships" name="Revenue Model" sheetId="3" r:id="Rbb8fb6f4864f4947"/>
    <x:sheet xmlns:r="http://schemas.openxmlformats.org/officeDocument/2006/relationships" name="Startup Costs" sheetId="4" r:id="Rd80efc4e073249df"/>
    <x:sheet xmlns:r="http://schemas.openxmlformats.org/officeDocument/2006/relationships" name="Timeline" sheetId="5" r:id="R2b0c84e9755d4e6a"/>
    <x:sheet xmlns:r="http://schemas.openxmlformats.org/officeDocument/2006/relationships" name="GTM Plan" sheetId="6" r:id="R07611ac6eabf4e0e"/>
    <x:sheet xmlns:r="http://schemas.openxmlformats.org/officeDocument/2006/relationships" name="Mock Ads" sheetId="7" r:id="Rc3fa4f3739374e65"/>
    <x:sheet xmlns:r="http://schemas.openxmlformats.org/officeDocument/2006/relationships" name="Sources" sheetId="8" r:id="Rf316b8ba261e449b"/>
  </x:sheets>
</x:workbook>
</file>

<file path=xl/comments1.xml><?xml version="1.0" encoding="utf-8"?>
<x:comments xmlns:x="http://schemas.openxmlformats.org/spreadsheetml/2006/main">
  <x:authors>
    <x:author>tc={5CD9904F-BD68-E465-A3CB-DF5997999FF1}</x:author>
    <x:author>tc={715C336C-04B7-8CB5-BA8F-C716108E0394}</x:author>
    <x:author>tc={371BB5F1-EA32-B290-EC82-1EBE0CB5B6BF}</x:author>
    <x:author>tc={CD77ED53-A7C7-F027-55DD-9BF4CECE0A8C}</x:author>
    <x:author>tc={425732B1-2E52-412D-59BC-0E019BF6E413}</x:author>
    <x:author>tc={7B30A732-7816-B15D-B5E0-C479165CF7F9}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User-adjustable marketing budget. This is the primary driver feeding Revenue Model!B5:M5 and the Dashboard.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CPM assumption. Replace with real media buying data after 2-4 weeks of paid media testing.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CTR assumption. Replace with platform reporting by channel once campaigns are live.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Assessment completion estimate. Should be measured from funnel analytics.</x:t>
        </x:r>
      </x:text>
    </x:comment>
    <x:comment ref="B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Clinical start rate is not a guarantee; eligibility is determined only by licensed clinicians.</x:t>
        </x:r>
      </x:text>
    </x:comment>
    <x:comment ref="B1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Revenue should be structured under counsel-approved flat/service/marketing arrangements, not per-prescription kickbacks.</x:t>
        </x:r>
      </x:text>
    </x:comment>
  </x:commentList>
</x:comments>
</file>

<file path=xl/comments2.xml><?xml version="1.0" encoding="utf-8"?>
<x:comments xmlns:x="http://schemas.openxmlformats.org/spreadsheetml/2006/main">
  <x:authors>
    <x:author>tc={8A9ADD4B-E216-52F6-0B00-7E94A18317A1}</x:author>
  </x:authors>
  <x:commentList>
    <x:comment ref="H1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estimate only. Validate with healthcare counsel, web vendor, RevOps, insurance broker, and partner contracts.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"/>
    <x:numFmt numFmtId="202" formatCode="0%"/>
    <x:numFmt numFmtId="203" formatCode="0.0%"/>
    <x:numFmt numFmtId="204" formatCode="$#,##0.00;[Red]($#,##0.00);-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50505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b/>
      <x:sz val="11"/>
      <x:color rgb="FFB5121B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sz val="11"/>
      <x:color rgb="FF050505"/>
      <x:name val="Carlito"/>
    </x:font>
    <x:font>
      <x:sz val="11"/>
      <x:color rgb="FF1155C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50505"/>
      </x:patternFill>
    </x:fill>
    <x:fill>
      <x:patternFill patternType="solid">
        <x:fgColor rgb="FFFEE2E2"/>
      </x:patternFill>
    </x:fill>
    <x:fill>
      <x:patternFill patternType="solid">
        <x:fgColor rgb="FFED1C24"/>
      </x:patternFill>
    </x:fill>
    <x:fill>
      <x:patternFill patternType="solid">
        <x:fgColor rgb="FFF9FAFB"/>
      </x:patternFill>
    </x:fill>
    <x:fill>
      <x:patternFill patternType="solid">
        <x:fgColor rgb="FFFFF7ED"/>
      </x:patternFill>
    </x:fill>
    <x:fill>
      <x:patternFill patternType="solid">
        <x:fgColor rgb="FFFFF200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202" fontId="8" fillId="7" borderId="0" xfId="0" applyNumberFormat="1" applyFont="1" applyFill="1" applyBorder="1"/>
    <x:xf numFmtId="202" fontId="8" fillId="7" borderId="1" xfId="0" applyNumberFormat="1" applyFont="1" applyFill="1" applyBorder="1"/>
    <x:xf numFmtId="203" fontId="8" fillId="7" borderId="0" xfId="0" applyNumberFormat="1" applyFont="1" applyFill="1" applyBorder="1"/>
    <x:xf numFmtId="203" fontId="8" fillId="7" borderId="1" xfId="0" applyNumberFormat="1" applyFont="1" applyFill="1" applyBorder="1"/>
    <x:xf numFmtId="200" fontId="8" fillId="7" borderId="0" xfId="0" applyNumberFormat="1" applyFont="1" applyFill="1" applyBorder="1"/>
    <x:xf numFmtId="200" fontId="8" fillId="7" borderId="1" xfId="0" applyNumberFormat="1" applyFont="1" applyFill="1" applyBorder="1"/>
    <x:xf numFmtId="204" fontId="8" fillId="7" borderId="0" xfId="0" applyNumberFormat="1" applyFont="1" applyFill="1" applyBorder="1"/>
    <x:xf numFmtId="204" fontId="8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0" fontId="6" fillId="8" borderId="0" xfId="0" applyNumberFormat="1" applyFont="1" applyFill="1" applyBorder="1"/>
    <x:xf numFmtId="200" fontId="10" fillId="8" borderId="0" xfId="0" applyNumberFormat="1" applyFont="1" applyFill="1" applyBorder="1"/>
    <x:xf numFmtId="200" fontId="2" fillId="8" borderId="0" xfId="0" applyNumberFormat="1" applyFont="1" applyFill="1" applyBorder="1"/>
    <x:xf numFmtId="0" fontId="6" fillId="8" borderId="1" xfId="0" applyNumberFormat="1" applyFont="1" applyFill="1" applyBorder="1"/>
    <x:xf numFmtId="200" fontId="10" fillId="8" borderId="1" xfId="0" applyNumberFormat="1" applyFont="1" applyFill="1" applyBorder="1"/>
    <x:xf numFmtId="200" fontId="2" fillId="8" borderId="1" xfId="0" applyNumberFormat="1" applyFont="1" applyFill="1" applyBorder="1"/>
    <x:xf numFmtId="200" fontId="10" fillId="5" borderId="0" xfId="0" applyNumberFormat="1" applyFont="1" applyFill="1" applyBorder="1"/>
    <x:xf numFmtId="200" fontId="2" fillId="5" borderId="0" xfId="0" applyNumberFormat="1" applyFont="1" applyFill="1" applyBorder="1"/>
    <x:xf numFmtId="200" fontId="10" fillId="5" borderId="1" xfId="0" applyNumberFormat="1" applyFont="1" applyFill="1" applyBorder="1"/>
    <x:xf numFmtId="20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0" xfId="0" applyNumberFormat="1" applyFont="1" applyFill="1" applyBorder="1"/>
    <x:xf numFmtId="20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4b7036de64157" /><Relationship Type="http://schemas.openxmlformats.org/officeDocument/2006/relationships/theme" Target="/xl/theme/theme1.xml" Id="Rb43a9714d59d406f" /><Relationship Type="http://schemas.openxmlformats.org/officeDocument/2006/relationships/sharedStrings" Target="/xl/sharedStrings.xml" Id="R75cb5479d245428b" /><Relationship Type="http://schemas.openxmlformats.org/officeDocument/2006/relationships/worksheet" Target="/xl/worksheets/sheet1.xml" Id="R23a9ba6da0b04d22" /><Relationship Type="http://schemas.openxmlformats.org/officeDocument/2006/relationships/worksheet" Target="/xl/worksheets/sheet2.xml" Id="R0e69b8ba17eb4132" /><Relationship Type="http://schemas.openxmlformats.org/officeDocument/2006/relationships/worksheet" Target="/xl/worksheets/sheet3.xml" Id="Rbb8fb6f4864f4947" /><Relationship Type="http://schemas.openxmlformats.org/officeDocument/2006/relationships/worksheet" Target="/xl/worksheets/sheet4.xml" Id="Rd80efc4e073249df" /><Relationship Type="http://schemas.openxmlformats.org/officeDocument/2006/relationships/worksheet" Target="/xl/worksheets/sheet5.xml" Id="R2b0c84e9755d4e6a" /><Relationship Type="http://schemas.openxmlformats.org/officeDocument/2006/relationships/worksheet" Target="/xl/worksheets/sheet6.xml" Id="R07611ac6eabf4e0e" /><Relationship Type="http://schemas.openxmlformats.org/officeDocument/2006/relationships/worksheet" Target="/xl/worksheets/sheet7.xml" Id="Rc3fa4f3739374e65" /><Relationship Type="http://schemas.openxmlformats.org/officeDocument/2006/relationships/worksheet" Target="/xl/worksheets/sheet8.xml" Id="Rf316b8ba261e449b" /><Relationship Type="http://schemas.microsoft.com/office/2017/10/relationships/person" Target="/xl/persons/person.xml" Id="Rfb6f9cff5cd943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d758c90c6d4e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Funnel Economics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Marketing Spend ($)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'Dashboard'!$B$15:$B$26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($)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'Dashboard'!$C$15:$C$26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 After Startup ($)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'Dashboard'!$D$15:$D$26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d758c90c6d4e3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trategic 500" id="{2CAFB149-0CED-425E-8470-68FC223ABCD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6-27T12:43:33.07" personId="{2CAFB149-0CED-425E-8470-68FC223ABCD4}" id="{5CD9904F-BD68-E465-A3CB-DF5997999FF1}">
    <xltc:text>User-adjustable marketing budget. This is the primary driver feeding Revenue Model!B5:M5 and the Dashboard.</xltc:text>
  </xltc:threadedComment>
  <xltc:threadedComment ref="B8" dT="2026-06-27T12:43:33.074" personId="{2CAFB149-0CED-425E-8470-68FC223ABCD4}" id="{715C336C-04B7-8CB5-BA8F-C716108E0394}">
    <xltc:text>Planning CPM assumption. Replace with real media buying data after 2-4 weeks of paid media testing.</xltc:text>
  </xltc:threadedComment>
  <xltc:threadedComment ref="B9" dT="2026-06-27T12:43:33.078" personId="{2CAFB149-0CED-425E-8470-68FC223ABCD4}" id="{371BB5F1-EA32-B290-EC82-1EBE0CB5B6BF}">
    <xltc:text>Planning CTR assumption. Replace with platform reporting by channel once campaigns are live.</xltc:text>
  </xltc:threadedComment>
  <xltc:threadedComment ref="B11" dT="2026-06-27T12:43:33.083" personId="{2CAFB149-0CED-425E-8470-68FC223ABCD4}" id="{CD77ED53-A7C7-F027-55DD-9BF4CECE0A8C}">
    <xltc:text>Assessment completion estimate. Should be measured from funnel analytics.</xltc:text>
  </xltc:threadedComment>
  <xltc:threadedComment ref="B13" dT="2026-06-27T12:43:33.088" personId="{2CAFB149-0CED-425E-8470-68FC223ABCD4}" id="{425732B1-2E52-412D-59BC-0E019BF6E413}">
    <xltc:text>Clinical start rate is not a guarantee; eligibility is determined only by licensed clinicians.</xltc:text>
  </xltc:threadedComment>
  <xltc:threadedComment ref="B16" dT="2026-06-27T12:43:33.092" personId="{2CAFB149-0CED-425E-8470-68FC223ABCD4}" id="{7B30A732-7816-B15D-B5E0-C479165CF7F9}">
    <xltc:text>Revenue should be structured under counsel-approved flat/service/marketing arrangements, not per-prescription kickbacks.</xltc:text>
  </xltc:threadedComment>
  <xltc:threadedComment ref="B5" dT="2026-06-27T12:43:48.397" personId="{2CAFB149-0CED-425E-8470-68FC223ABCD4}" id="{33EE7C72-31A9-107D-7373-1A579C0205C1}">
    <xltc:text>User-adjustable marketing budget. This is the primary driver feeding Revenue Model!B5:M5 and the Dashboard.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H17" dT="2026-06-27T12:43:34.162" personId="{2CAFB149-0CED-425E-8470-68FC223ABCD4}" id="{8A9ADD4B-E216-52F6-0B00-7E94A18317A1}">
    <xltc:text>Planning estimate only. Validate with healthcare counsel, web vendor, RevOps, insurance broker, and partner contracts.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c73e1241a34e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95fab8947ec4783" /><Relationship Type="http://schemas.openxmlformats.org/officeDocument/2006/relationships/vmlDrawing" Target="/xl/drawings/vmldrawing.vml" Id="R5bc401bab28d4acd" /><Relationship Type="http://schemas.microsoft.com/office/2017/10/relationships/threadedComment" Target="/xl/threadedcomments/threadedcomment.xml" Id="Rb63b4060d779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30edfb3aaa12425f" /><Relationship Type="http://schemas.openxmlformats.org/officeDocument/2006/relationships/vmlDrawing" Target="/xl/drawings/vmldrawing2.vml" Id="R7fc6436594ed40cb" /><Relationship Type="http://schemas.microsoft.com/office/2017/10/relationships/threadedComment" Target="/xl/threadedcomments/threadedcomment2.xml" Id="R42341597e5074f7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22" hidden="0" customWidth="1"/>
    <x:col min="5" max="5" width="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98" t="str">
        <x:v>BASEmd Launch Proforma + GTM Workbook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2" ht="22" customHeight="1">
      <x:c r="A2" s="10" t="str">
        <x:v>Host path: https://strategic500.com/BASEmd/    |    Change the highlighted marketing budget input in Inputs!B5 to update the forecast.</x:v>
      </x:c>
    </x:row>
    <x:row r="4">
      <x:c r="A4" s="16" t="str">
        <x:v>Key Driver</x:v>
      </x:c>
      <x:c r="B4" s="16" t="str">
        <x:v>Value</x:v>
      </x:c>
    </x:row>
    <x:row r="5">
      <x:c r="A5" s="21" t="str">
        <x:v>Monthly Paid Media Budget ($)</x:v>
      </x:c>
      <x:c r="B5" s="25" t="n">
        <x:f>Inputs!B5</x:f>
        <x:v>25000</x:v>
      </x:c>
    </x:row>
    <x:row r="6">
      <x:c r="A6" s="21" t="str">
        <x:v>Year 1 Marketing Spend ($)</x:v>
      </x:c>
      <x:c r="B6" s="25" t="n">
        <x:f>SUM('Revenue Model'!B5:M5)</x:f>
        <x:v>255000</x:v>
      </x:c>
    </x:row>
    <x:row r="7">
      <x:c r="A7" s="21" t="str">
        <x:v>Year 1 Revenue ($)</x:v>
      </x:c>
      <x:c r="B7" s="25" t="n">
        <x:f>SUM('Revenue Model'!B16:M16)</x:f>
        <x:v>322709.6428049543</x:v>
      </x:c>
    </x:row>
    <x:row r="8">
      <x:c r="A8" s="21" t="str">
        <x:v>Year 1 EBITDA After Startup ($)</x:v>
      </x:c>
      <x:c r="B8" s="25" t="n">
        <x:f>SUM('Revenue Model'!B23:M23)</x:f>
        <x:v>-279167.5220205758</x:v>
      </x:c>
    </x:row>
    <x:row r="9">
      <x:c r="A9" s="21" t="str">
        <x:v>Ending Active Members</x:v>
      </x:c>
      <x:c r="B9" s="28" t="n">
        <x:f>'Revenue Model'!M13</x:f>
        <x:v>649.4897156392515</x:v>
      </x:c>
    </x:row>
    <x:row r="10">
      <x:c r="A10" s="21" t="str">
        <x:v>Blended CAC / New Member ($)</x:v>
      </x:c>
      <x:c r="B10" s="25" t="n">
        <x:f>IFERROR(SUM('Revenue Model'!B5:M5)/SUM('Revenue Model'!B11:M11),0)</x:f>
        <x:v>159.4896331738437</x:v>
      </x:c>
    </x:row>
    <x:row r="11">
      <x:c r="A11" s="21" t="str">
        <x:v>Startup Cost Requirement ($)</x:v>
      </x:c>
      <x:c r="B11" s="25" t="n">
        <x:f>'Startup Costs'!H17</x:f>
        <x:v>209300</x:v>
      </x:c>
    </x:row>
    <x:row r="12">
      <x:c r="A12" s="21" t="str">
        <x:v>Model Status</x:v>
      </x:c>
      <x:c r="B12" s="32" t="str">
        <x:v>Planning model — counsel/vendor validation required</x:v>
      </x:c>
    </x:row>
    <x:row r="14" ht="24" customHeight="1">
      <x:c r="A14" s="38" t="str">
        <x:v>Month</x:v>
      </x:c>
      <x:c r="B14" s="38" t="str">
        <x:v>Marketing Spend ($)</x:v>
      </x:c>
      <x:c r="C14" s="38" t="str">
        <x:v>Revenue ($)</x:v>
      </x:c>
      <x:c r="D14" s="38" t="str">
        <x:v>EBITDA After Startup ($)</x:v>
      </x:c>
    </x:row>
    <x:row r="15">
      <x:c r="A15" s="42" t="str">
        <x:v>Month 1</x:v>
      </x:c>
      <x:c r="B15" s="44" t="n">
        <x:f>'Revenue Model'!B5</x:f>
        <x:v>10000</x:v>
      </x:c>
      <x:c r="C15" s="44" t="n">
        <x:f>'Revenue Model'!B16</x:f>
        <x:v>4075.5</x:v>
      </x:c>
      <x:c r="D15" s="44" t="n">
        <x:f>'Revenue Model'!B23</x:f>
        <x:v>-138756.9</x:v>
      </x:c>
    </x:row>
    <x:row r="16">
      <x:c r="A16" s="42" t="str">
        <x:v>Month 2</x:v>
      </x:c>
      <x:c r="B16" s="44" t="n">
        <x:f>'Revenue Model'!C5</x:f>
        <x:v>13000</x:v>
      </x:c>
      <x:c r="C16" s="44" t="n">
        <x:f>'Revenue Model'!C16</x:f>
        <x:v>8477.039999999999</x:v>
      </x:c>
      <x:c r="D16" s="44" t="n">
        <x:f>'Revenue Model'!C23</x:f>
        <x:v>-75377.952</x:v>
      </x:c>
    </x:row>
    <x:row r="17">
      <x:c r="A17" s="42" t="str">
        <x:v>Month 3</x:v>
      </x:c>
      <x:c r="B17" s="44" t="n">
        <x:f>'Revenue Model'!D5</x:f>
        <x:v>16000</x:v>
      </x:c>
      <x:c r="C17" s="44" t="n">
        <x:f>'Revenue Model'!D16</x:f>
        <x:v>13132.891200000002</x:v>
      </x:c>
      <x:c r="D17" s="44" t="n">
        <x:f>'Revenue Model'!D23</x:f>
        <x:v>-32721.64256</x:v>
      </x:c>
    </x:row>
    <x:row r="18">
      <x:c r="A18" s="42" t="str">
        <x:v>Month 4</x:v>
      </x:c>
      <x:c r="B18" s="44" t="n">
        <x:f>'Revenue Model'!E5</x:f>
        <x:v>19000</x:v>
      </x:c>
      <x:c r="C18" s="44" t="n">
        <x:f>'Revenue Model'!E16</x:f>
        <x:v>17987.105136000002</x:v>
      </x:c>
      <x:c r="D18" s="44" t="n">
        <x:f>'Revenue Model'!E23</x:f>
        <x:v>-10833.591196799998</x:v>
      </x:c>
    </x:row>
    <x:row r="19">
      <x:c r="A19" s="42" t="str">
        <x:v>Month 5</x:v>
      </x:c>
      <x:c r="B19" s="44" t="n">
        <x:f>'Revenue Model'!F5</x:f>
        <x:v>22000</x:v>
      </x:c>
      <x:c r="C19" s="44" t="n">
        <x:f>'Revenue Model'!F16</x:f>
        <x:v>22996.042006080002</x:v>
      </x:c>
      <x:c r="D19" s="44" t="n">
        <x:f>'Revenue Model'!F23</x:f>
        <x:v>-9749.381133503997</x:v>
      </x:c>
    </x:row>
    <x:row r="20">
      <x:c r="A20" s="42" t="str">
        <x:v>Month 6</x:v>
      </x:c>
      <x:c r="B20" s="44" t="n">
        <x:f>'Revenue Model'!G5</x:f>
        <x:v>25000</x:v>
      </x:c>
      <x:c r="C20" s="44" t="n">
        <x:f>'Revenue Model'!G16</x:f>
        <x:v>28125.6627647424</x:v>
      </x:c>
      <x:c r="D20" s="44" t="n">
        <x:f>'Revenue Model'!G23</x:f>
        <x:v>-8566.767284133122</x:v>
      </x:c>
    </x:row>
    <x:row r="21">
      <x:c r="A21" s="42" t="str">
        <x:v>Month 7</x:v>
      </x:c>
      <x:c r="B21" s="44" t="n">
        <x:f>'Revenue Model'!H5</x:f>
        <x:v>25000</x:v>
      </x:c>
      <x:c r="C21" s="44" t="n">
        <x:f>'Revenue Model'!H16</x:f>
        <x:v>32126.766956499072</x:v>
      </x:c>
      <x:c r="D21" s="44" t="n">
        <x:f>'Revenue Model'!H23</x:f>
        <x:v>-5304.328481623834</x:v>
      </x:c>
    </x:row>
    <x:row r="22">
      <x:c r="A22" s="42" t="str">
        <x:v>Month 8</x:v>
      </x:c>
      <x:c r="B22" s="44" t="n">
        <x:f>'Revenue Model'!I5</x:f>
        <x:v>25000</x:v>
      </x:c>
      <x:c r="C22" s="44" t="n">
        <x:f>'Revenue Model'!I16</x:f>
        <x:v>35247.628226069275</x:v>
      </x:c>
      <x:c r="D22" s="44" t="n">
        <x:f>'Revenue Model'!I23</x:f>
        <x:v>-2759.6262156665907</x:v>
      </x:c>
    </x:row>
    <x:row r="23">
      <x:c r="A23" s="42" t="str">
        <x:v>Month 9</x:v>
      </x:c>
      <x:c r="B23" s="44" t="n">
        <x:f>'Revenue Model'!J5</x:f>
        <x:v>25000</x:v>
      </x:c>
      <x:c r="C23" s="44" t="n">
        <x:f>'Revenue Model'!J16</x:f>
        <x:v>37681.90001633403</x:v>
      </x:c>
      <x:c r="D23" s="44" t="n">
        <x:f>'Revenue Model'!J23</x:f>
        <x:v>-774.7584482199454</x:v>
      </x:c>
    </x:row>
    <x:row r="24">
      <x:c r="A24" s="42" t="str">
        <x:v>Month 10</x:v>
      </x:c>
      <x:c r="B24" s="44" t="n">
        <x:f>'Revenue Model'!K5</x:f>
        <x:v>25000</x:v>
      </x:c>
      <x:c r="C24" s="44" t="n">
        <x:f>'Revenue Model'!K16</x:f>
        <x:v>39580.63201274054</x:v>
      </x:c>
      <x:c r="D24" s="44" t="n">
        <x:f>'Revenue Model'!K23</x:f>
        <x:v>773.438410388444</x:v>
      </x:c>
    </x:row>
    <x:row r="25">
      <x:c r="A25" s="42" t="str">
        <x:v>Month 11</x:v>
      </x:c>
      <x:c r="B25" s="44" t="n">
        <x:f>'Revenue Model'!L5</x:f>
        <x:v>25000</x:v>
      </x:c>
      <x:c r="C25" s="44" t="n">
        <x:f>'Revenue Model'!L16</x:f>
        <x:v>41061.642969937624</x:v>
      </x:c>
      <x:c r="D25" s="44" t="n">
        <x:f>'Revenue Model'!L23</x:f>
        <x:v>1981.0319601029842</x:v>
      </x:c>
    </x:row>
    <x:row r="26">
      <x:c r="A26" s="42" t="str">
        <x:v>Month 12</x:v>
      </x:c>
      <x:c r="B26" s="44" t="n">
        <x:f>'Revenue Model'!M5</x:f>
        <x:v>25000</x:v>
      </x:c>
      <x:c r="C26" s="44" t="n">
        <x:f>'Revenue Model'!M16</x:f>
        <x:v>42216.83151655135</x:v>
      </x:c>
      <x:c r="D26" s="44" t="n">
        <x:f>'Revenue Model'!M23</x:f>
        <x:v>2922.954928880332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5c73e1241a34e35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6" hidden="0" customWidth="1"/>
    <x:col min="4" max="4" width="68" hidden="0" customWidth="1"/>
  </x:cols>
  <x:sheetData>
    <x:row r="1" ht="30" customHeight="1">
      <x:c r="A1" s="102" t="str">
        <x:v>BASEmd Model Inputs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2">
      <x:c r="A2" s="48" t="str">
        <x:v>Blue/yellow cells are user-editable. Changing Monthly Paid Media Budget in B5 updates projected revenue.</x:v>
      </x:c>
    </x:row>
    <x:row r="4" ht="24" customHeight="1">
      <x:c r="A4" s="38" t="str">
        <x:v>Assumption</x:v>
      </x:c>
      <x:c r="B4" s="38" t="str">
        <x:v>Input</x:v>
      </x:c>
      <x:c r="C4" s="38" t="str">
        <x:v>Unit</x:v>
      </x:c>
      <x:c r="D4" s="38" t="str">
        <x:v>Notes</x:v>
      </x:c>
    </x:row>
    <x:row r="5">
      <x:c r="A5" s="50" t="str">
        <x:v>Monthly Paid Media Budget</x:v>
      </x:c>
      <x:c r="B5" s="60" t="n">
        <x:v>25000</x:v>
      </x:c>
      <x:c r="C5" t="str">
        <x:v>$ / month</x:v>
      </x:c>
      <x:c r="D5" s="64" t="str">
        <x:v>Primary model driver. Increase/decrease to adjust revenue forecast.</x:v>
      </x:c>
    </x:row>
    <x:row r="6">
      <x:c r="A6" s="50" t="str">
        <x:v>Marketing Ramp Start</x:v>
      </x:c>
      <x:c r="B6" s="56" t="n">
        <x:v>0.4</x:v>
      </x:c>
      <x:c r="C6" t="str">
        <x:v>% of budget</x:v>
      </x:c>
      <x:c r="D6" s="64" t="str">
        <x:v>Month 1 starts below full spend while ads/funnel learn.</x:v>
      </x:c>
    </x:row>
    <x:row r="7">
      <x:c r="A7" s="50" t="str">
        <x:v>Ramp Months</x:v>
      </x:c>
      <x:c r="B7" s="53" t="n">
        <x:v>5</x:v>
      </x:c>
      <x:c r="C7" t="str">
        <x:v>months</x:v>
      </x:c>
      <x:c r="D7" s="64" t="str">
        <x:v>Months to reach full budget.</x:v>
      </x:c>
    </x:row>
    <x:row r="8">
      <x:c r="A8" s="50" t="str">
        <x:v>Blended CPM</x:v>
      </x:c>
      <x:c r="B8" s="62" t="n">
        <x:v>28</x:v>
      </x:c>
      <x:c r="C8" t="str">
        <x:v>$</x:v>
      </x:c>
      <x:c r="D8" s="64" t="str">
        <x:v>Weighted paid social/search/video planning estimate.</x:v>
      </x:c>
    </x:row>
    <x:row r="9">
      <x:c r="A9" s="50" t="str">
        <x:v>Paid CTR</x:v>
      </x:c>
      <x:c r="B9" s="58" t="n">
        <x:v>0.012</x:v>
      </x:c>
      <x:c r="C9" t="str">
        <x:v>%</x:v>
      </x:c>
      <x:c r="D9" s="64" t="str">
        <x:v>Blended click-through estimate across creative/channel mix.</x:v>
      </x:c>
    </x:row>
    <x:row r="10">
      <x:c r="A10" s="50" t="str">
        <x:v>Click-to-Assessment Start Rate</x:v>
      </x:c>
      <x:c r="B10" s="58" t="n">
        <x:v>0.08</x:v>
      </x:c>
      <x:c r="C10" t="str">
        <x:v>%</x:v>
      </x:c>
      <x:c r="D10" s="64" t="str">
        <x:v>Landing page to assessment start conversion.</x:v>
      </x:c>
    </x:row>
    <x:row r="11">
      <x:c r="A11" s="50" t="str">
        <x:v>Assessment Completion Rate</x:v>
      </x:c>
      <x:c r="B11" s="58" t="n">
        <x:v>0.55</x:v>
      </x:c>
      <x:c r="C11" t="str">
        <x:v>%</x:v>
      </x:c>
      <x:c r="D11" s="64" t="str">
        <x:v>Started assessments that become complete submissions.</x:v>
      </x:c>
    </x:row>
    <x:row r="12">
      <x:c r="A12" s="50" t="str">
        <x:v>Provider Review Rate</x:v>
      </x:c>
      <x:c r="B12" s="58" t="n">
        <x:v>0.95</x:v>
      </x:c>
      <x:c r="C12" t="str">
        <x:v>%</x:v>
      </x:c>
      <x:c r="D12" s="64" t="str">
        <x:v>Completed assessments routed to provider review or lab path.</x:v>
      </x:c>
    </x:row>
    <x:row r="13">
      <x:c r="A13" s="50" t="str">
        <x:v>Clinical Start Rate</x:v>
      </x:c>
      <x:c r="B13" s="58" t="n">
        <x:v>0.35</x:v>
      </x:c>
      <x:c r="C13" t="str">
        <x:v>%</x:v>
      </x:c>
      <x:c r="D13" s="64" t="str">
        <x:v>Provider-reviewed users who become an enrolled active member.</x:v>
      </x:c>
    </x:row>
    <x:row r="14">
      <x:c r="A14" s="50" t="str">
        <x:v>Monthly Retention Rate</x:v>
      </x:c>
      <x:c r="B14" s="56" t="n">
        <x:v>0.78</x:v>
      </x:c>
      <x:c r="C14" t="str">
        <x:v>%</x:v>
      </x:c>
      <x:c r="D14" s="64" t="str">
        <x:v>Active members retained into next month.</x:v>
      </x:c>
    </x:row>
    <x:row r="15">
      <x:c r="A15" s="50" t="str">
        <x:v>BASE Revenue / Active Member Month</x:v>
      </x:c>
      <x:c r="B15" s="60" t="n">
        <x:v>65</x:v>
      </x:c>
      <x:c r="C15" t="str">
        <x:v>$</x:v>
      </x:c>
      <x:c r="D15" s="64" t="str">
        <x:v>Planning estimate for compliant marketing/access/support revenue. Must not be structured as a per-Rx kickback.</x:v>
      </x:c>
    </x:row>
    <x:row r="16">
      <x:c r="A16" s="50" t="str">
        <x:v>Support Cost / Active Member Month</x:v>
      </x:c>
      <x:c r="B16" s="60" t="n">
        <x:v>12</x:v>
      </x:c>
      <x:c r="C16" t="str">
        <x:v>$</x:v>
      </x:c>
      <x:c r="D16" s="64" t="str">
        <x:v>Non-clinical support/tools/ops cost per active member.</x:v>
      </x:c>
    </x:row>
    <x:row r="17">
      <x:c r="A17" s="50" t="str">
        <x:v>Fixed Platform/Ops Cost</x:v>
      </x:c>
      <x:c r="B17" s="60" t="n">
        <x:v>6500</x:v>
      </x:c>
      <x:c r="C17" t="str">
        <x:v>$ / month</x:v>
      </x:c>
      <x:c r="D17" s="64" t="str">
        <x:v>CRM, hosting, management, compliance ops, reporting.</x:v>
      </x:c>
    </x:row>
    <x:row r="18">
      <x:c r="A18" s="50" t="str">
        <x:v>Go-Live Month</x:v>
      </x:c>
      <x:c r="B18" s="53" t="str">
        <x:v>Month 1</x:v>
      </x:c>
      <x:c r="C18" t="str">
        <x:v>text</x:v>
      </x:c>
      <x:c r="D18" s="64" t="str">
        <x:v>Can be replaced with actual calendar month before launch.</x:v>
      </x:c>
    </x:row>
  </x:sheetData>
  <x:mergeCells>
    <x:mergeCell ref="A1:D1"/>
    <x:mergeCell ref="A2:D2"/>
  </x:mergeCells>
  <x:pageMargins left="0.7" right="0.7" top="0.75" bottom="0.75" header="0.3" footer="0.3"/>
  <x:legacyDrawing xmlns:r="http://schemas.openxmlformats.org/officeDocument/2006/relationships" r:id="R5bc401bab28d4acd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102" t="str">
        <x:v>BASEmd Revenue Model — 12 Month Launch Proforma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3">
      <x:c r="A3" s="48" t="str">
        <x:v>Formula-driven model: Monthly marketing budget from Inputs!B5 drives impressions → clicks → assessments → clinical starts → active members → BASEmd revenue.</x:v>
      </x:c>
    </x:row>
    <x:row r="4" ht="24" customHeight="1">
      <x:c r="A4" s="38" t="str">
        <x:v>Metric</x:v>
      </x:c>
      <x:c r="B4" s="38" t="str">
        <x:v>Month 1</x:v>
      </x:c>
      <x:c r="C4" s="38" t="str">
        <x:v>Month 2</x:v>
      </x:c>
      <x:c r="D4" s="38" t="str">
        <x:v>Month 3</x:v>
      </x:c>
      <x:c r="E4" s="38" t="str">
        <x:v>Month 4</x:v>
      </x:c>
      <x:c r="F4" s="38" t="str">
        <x:v>Month 5</x:v>
      </x:c>
      <x:c r="G4" s="38" t="str">
        <x:v>Month 6</x:v>
      </x:c>
      <x:c r="H4" s="38" t="str">
        <x:v>Month 7</x:v>
      </x:c>
      <x:c r="I4" s="38" t="str">
        <x:v>Month 8</x:v>
      </x:c>
      <x:c r="J4" s="38" t="str">
        <x:v>Month 9</x:v>
      </x:c>
      <x:c r="K4" s="38" t="str">
        <x:v>Month 10</x:v>
      </x:c>
      <x:c r="L4" s="38" t="str">
        <x:v>Month 11</x:v>
      </x:c>
      <x:c r="M4" s="38" t="str">
        <x:v>Month 12</x:v>
      </x:c>
    </x:row>
    <x:row r="5">
      <x:c r="A5" s="50" t="str">
        <x:v>Marketing Spend</x:v>
      </x:c>
      <x:c r="B5" s="67" t="n">
        <x:f>Inputs!$B$5*MIN(1,Inputs!$B$6+(1-1)*(1-Inputs!$B$6)/Inputs!$B$7)</x:f>
        <x:v>10000</x:v>
      </x:c>
      <x:c r="C5" s="67" t="n">
        <x:f>Inputs!$B$5*MIN(1,Inputs!$B$6+(2-1)*(1-Inputs!$B$6)/Inputs!$B$7)</x:f>
        <x:v>13000</x:v>
      </x:c>
      <x:c r="D5" s="67" t="n">
        <x:f>Inputs!$B$5*MIN(1,Inputs!$B$6+(3-1)*(1-Inputs!$B$6)/Inputs!$B$7)</x:f>
        <x:v>16000</x:v>
      </x:c>
      <x:c r="E5" s="67" t="n">
        <x:f>Inputs!$B$5*MIN(1,Inputs!$B$6+(4-1)*(1-Inputs!$B$6)/Inputs!$B$7)</x:f>
        <x:v>19000</x:v>
      </x:c>
      <x:c r="F5" s="67" t="n">
        <x:f>Inputs!$B$5*MIN(1,Inputs!$B$6+(5-1)*(1-Inputs!$B$6)/Inputs!$B$7)</x:f>
        <x:v>22000</x:v>
      </x:c>
      <x:c r="G5" s="67" t="n">
        <x:f>Inputs!$B$5*MIN(1,Inputs!$B$6+(6-1)*(1-Inputs!$B$6)/Inputs!$B$7)</x:f>
        <x:v>25000</x:v>
      </x:c>
      <x:c r="H5" s="67" t="n">
        <x:f>Inputs!$B$5*MIN(1,Inputs!$B$6+(7-1)*(1-Inputs!$B$6)/Inputs!$B$7)</x:f>
        <x:v>25000</x:v>
      </x:c>
      <x:c r="I5" s="67" t="n">
        <x:f>Inputs!$B$5*MIN(1,Inputs!$B$6+(8-1)*(1-Inputs!$B$6)/Inputs!$B$7)</x:f>
        <x:v>25000</x:v>
      </x:c>
      <x:c r="J5" s="67" t="n">
        <x:f>Inputs!$B$5*MIN(1,Inputs!$B$6+(9-1)*(1-Inputs!$B$6)/Inputs!$B$7)</x:f>
        <x:v>25000</x:v>
      </x:c>
      <x:c r="K5" s="67" t="n">
        <x:f>Inputs!$B$5*MIN(1,Inputs!$B$6+(10-1)*(1-Inputs!$B$6)/Inputs!$B$7)</x:f>
        <x:v>25000</x:v>
      </x:c>
      <x:c r="L5" s="67" t="n">
        <x:f>Inputs!$B$5*MIN(1,Inputs!$B$6+(11-1)*(1-Inputs!$B$6)/Inputs!$B$7)</x:f>
        <x:v>25000</x:v>
      </x:c>
      <x:c r="M5" s="67" t="n">
        <x:f>Inputs!$B$5*MIN(1,Inputs!$B$6+(12-1)*(1-Inputs!$B$6)/Inputs!$B$7)</x:f>
        <x:v>25000</x:v>
      </x:c>
    </x:row>
    <x:row r="6">
      <x:c r="A6" s="50" t="str">
        <x:v>Impressions</x:v>
      </x:c>
      <x:c r="B6" s="72" t="n">
        <x:f>B5/Inputs!$B$8*1000</x:f>
        <x:v>357142.85714285716</x:v>
      </x:c>
      <x:c r="C6" s="72" t="n">
        <x:f>C5/Inputs!$B$8*1000</x:f>
        <x:v>464285.71428571426</x:v>
      </x:c>
      <x:c r="D6" s="72" t="n">
        <x:f>D5/Inputs!$B$8*1000</x:f>
        <x:v>571428.5714285715</x:v>
      </x:c>
      <x:c r="E6" s="72" t="n">
        <x:f>E5/Inputs!$B$8*1000</x:f>
        <x:v>678571.4285714285</x:v>
      </x:c>
      <x:c r="F6" s="72" t="n">
        <x:f>F5/Inputs!$B$8*1000</x:f>
        <x:v>785714.2857142857</x:v>
      </x:c>
      <x:c r="G6" s="72" t="n">
        <x:f>G5/Inputs!$B$8*1000</x:f>
        <x:v>892857.1428571428</x:v>
      </x:c>
      <x:c r="H6" s="72" t="n">
        <x:f>H5/Inputs!$B$8*1000</x:f>
        <x:v>892857.1428571428</x:v>
      </x:c>
      <x:c r="I6" s="72" t="n">
        <x:f>I5/Inputs!$B$8*1000</x:f>
        <x:v>892857.1428571428</x:v>
      </x:c>
      <x:c r="J6" s="72" t="n">
        <x:f>J5/Inputs!$B$8*1000</x:f>
        <x:v>892857.1428571428</x:v>
      </x:c>
      <x:c r="K6" s="72" t="n">
        <x:f>K5/Inputs!$B$8*1000</x:f>
        <x:v>892857.1428571428</x:v>
      </x:c>
      <x:c r="L6" s="72" t="n">
        <x:f>L5/Inputs!$B$8*1000</x:f>
        <x:v>892857.1428571428</x:v>
      </x:c>
      <x:c r="M6" s="72" t="n">
        <x:f>M5/Inputs!$B$8*1000</x:f>
        <x:v>892857.1428571428</x:v>
      </x:c>
    </x:row>
    <x:row r="7">
      <x:c r="A7" s="50" t="str">
        <x:v>Paid Clicks</x:v>
      </x:c>
      <x:c r="B7" s="72" t="n">
        <x:f>B6*Inputs!$B$9</x:f>
        <x:v>4285.714285714286</x:v>
      </x:c>
      <x:c r="C7" s="72" t="n">
        <x:f>C6*Inputs!$B$9</x:f>
        <x:v>5571.428571428572</x:v>
      </x:c>
      <x:c r="D7" s="72" t="n">
        <x:f>D6*Inputs!$B$9</x:f>
        <x:v>6857.142857142858</x:v>
      </x:c>
      <x:c r="E7" s="72" t="n">
        <x:f>E6*Inputs!$B$9</x:f>
        <x:v>8142.857142857142</x:v>
      </x:c>
      <x:c r="F7" s="72" t="n">
        <x:f>F6*Inputs!$B$9</x:f>
        <x:v>9428.571428571428</x:v>
      </x:c>
      <x:c r="G7" s="72" t="n">
        <x:f>G6*Inputs!$B$9</x:f>
        <x:v>10714.285714285714</x:v>
      </x:c>
      <x:c r="H7" s="72" t="n">
        <x:f>H6*Inputs!$B$9</x:f>
        <x:v>10714.285714285714</x:v>
      </x:c>
      <x:c r="I7" s="72" t="n">
        <x:f>I6*Inputs!$B$9</x:f>
        <x:v>10714.285714285714</x:v>
      </x:c>
      <x:c r="J7" s="72" t="n">
        <x:f>J6*Inputs!$B$9</x:f>
        <x:v>10714.285714285714</x:v>
      </x:c>
      <x:c r="K7" s="72" t="n">
        <x:f>K6*Inputs!$B$9</x:f>
        <x:v>10714.285714285714</x:v>
      </x:c>
      <x:c r="L7" s="72" t="n">
        <x:f>L6*Inputs!$B$9</x:f>
        <x:v>10714.285714285714</x:v>
      </x:c>
      <x:c r="M7" s="72" t="n">
        <x:f>M6*Inputs!$B$9</x:f>
        <x:v>10714.285714285714</x:v>
      </x:c>
    </x:row>
    <x:row r="8">
      <x:c r="A8" s="50" t="str">
        <x:v>Assessment Starts</x:v>
      </x:c>
      <x:c r="B8" s="72" t="n">
        <x:f>B7*Inputs!$B$10</x:f>
        <x:v>342.8571428571429</x:v>
      </x:c>
      <x:c r="C8" s="72" t="n">
        <x:f>C7*Inputs!$B$10</x:f>
        <x:v>445.7142857142857</x:v>
      </x:c>
      <x:c r="D8" s="72" t="n">
        <x:f>D7*Inputs!$B$10</x:f>
        <x:v>548.5714285714287</x:v>
      </x:c>
      <x:c r="E8" s="72" t="n">
        <x:f>E7*Inputs!$B$10</x:f>
        <x:v>651.4285714285714</x:v>
      </x:c>
      <x:c r="F8" s="72" t="n">
        <x:f>F7*Inputs!$B$10</x:f>
        <x:v>754.2857142857142</x:v>
      </x:c>
      <x:c r="G8" s="72" t="n">
        <x:f>G7*Inputs!$B$10</x:f>
        <x:v>857.1428571428571</x:v>
      </x:c>
      <x:c r="H8" s="72" t="n">
        <x:f>H7*Inputs!$B$10</x:f>
        <x:v>857.1428571428571</x:v>
      </x:c>
      <x:c r="I8" s="72" t="n">
        <x:f>I7*Inputs!$B$10</x:f>
        <x:v>857.1428571428571</x:v>
      </x:c>
      <x:c r="J8" s="72" t="n">
        <x:f>J7*Inputs!$B$10</x:f>
        <x:v>857.1428571428571</x:v>
      </x:c>
      <x:c r="K8" s="72" t="n">
        <x:f>K7*Inputs!$B$10</x:f>
        <x:v>857.1428571428571</x:v>
      </x:c>
      <x:c r="L8" s="72" t="n">
        <x:f>L7*Inputs!$B$10</x:f>
        <x:v>857.1428571428571</x:v>
      </x:c>
      <x:c r="M8" s="72" t="n">
        <x:f>M7*Inputs!$B$10</x:f>
        <x:v>857.1428571428571</x:v>
      </x:c>
    </x:row>
    <x:row r="9">
      <x:c r="A9" s="50" t="str">
        <x:v>Completed Assessments</x:v>
      </x:c>
      <x:c r="B9" s="72" t="n">
        <x:f>B8*Inputs!$B$11</x:f>
        <x:v>188.5714285714286</x:v>
      </x:c>
      <x:c r="C9" s="72" t="n">
        <x:f>C8*Inputs!$B$11</x:f>
        <x:v>245.14285714285717</x:v>
      </x:c>
      <x:c r="D9" s="72" t="n">
        <x:f>D8*Inputs!$B$11</x:f>
        <x:v>301.7142857142858</x:v>
      </x:c>
      <x:c r="E9" s="72" t="n">
        <x:f>E8*Inputs!$B$11</x:f>
        <x:v>358.28571428571433</x:v>
      </x:c>
      <x:c r="F9" s="72" t="n">
        <x:f>F8*Inputs!$B$11</x:f>
        <x:v>414.85714285714283</x:v>
      </x:c>
      <x:c r="G9" s="72" t="n">
        <x:f>G8*Inputs!$B$11</x:f>
        <x:v>471.42857142857144</x:v>
      </x:c>
      <x:c r="H9" s="72" t="n">
        <x:f>H8*Inputs!$B$11</x:f>
        <x:v>471.42857142857144</x:v>
      </x:c>
      <x:c r="I9" s="72" t="n">
        <x:f>I8*Inputs!$B$11</x:f>
        <x:v>471.42857142857144</x:v>
      </x:c>
      <x:c r="J9" s="72" t="n">
        <x:f>J8*Inputs!$B$11</x:f>
        <x:v>471.42857142857144</x:v>
      </x:c>
      <x:c r="K9" s="72" t="n">
        <x:f>K8*Inputs!$B$11</x:f>
        <x:v>471.42857142857144</x:v>
      </x:c>
      <x:c r="L9" s="72" t="n">
        <x:f>L8*Inputs!$B$11</x:f>
        <x:v>471.42857142857144</x:v>
      </x:c>
      <x:c r="M9" s="72" t="n">
        <x:f>M8*Inputs!$B$11</x:f>
        <x:v>471.42857142857144</x:v>
      </x:c>
    </x:row>
    <x:row r="10">
      <x:c r="A10" s="50" t="str">
        <x:v>Provider Reviews</x:v>
      </x:c>
      <x:c r="B10" s="72" t="n">
        <x:f>B9*Inputs!$B$12</x:f>
        <x:v>179.14285714285717</x:v>
      </x:c>
      <x:c r="C10" s="72" t="n">
        <x:f>C9*Inputs!$B$12</x:f>
        <x:v>232.8857142857143</x:v>
      </x:c>
      <x:c r="D10" s="72" t="n">
        <x:f>D9*Inputs!$B$12</x:f>
        <x:v>286.6285714285715</x:v>
      </x:c>
      <x:c r="E10" s="72" t="n">
        <x:f>E9*Inputs!$B$12</x:f>
        <x:v>340.3714285714286</x:v>
      </x:c>
      <x:c r="F10" s="72" t="n">
        <x:f>F9*Inputs!$B$12</x:f>
        <x:v>394.1142857142857</x:v>
      </x:c>
      <x:c r="G10" s="72" t="n">
        <x:f>G9*Inputs!$B$12</x:f>
        <x:v>447.85714285714283</x:v>
      </x:c>
      <x:c r="H10" s="72" t="n">
        <x:f>H9*Inputs!$B$12</x:f>
        <x:v>447.85714285714283</x:v>
      </x:c>
      <x:c r="I10" s="72" t="n">
        <x:f>I9*Inputs!$B$12</x:f>
        <x:v>447.85714285714283</x:v>
      </x:c>
      <x:c r="J10" s="72" t="n">
        <x:f>J9*Inputs!$B$12</x:f>
        <x:v>447.85714285714283</x:v>
      </x:c>
      <x:c r="K10" s="72" t="n">
        <x:f>K9*Inputs!$B$12</x:f>
        <x:v>447.85714285714283</x:v>
      </x:c>
      <x:c r="L10" s="72" t="n">
        <x:f>L9*Inputs!$B$12</x:f>
        <x:v>447.85714285714283</x:v>
      </x:c>
      <x:c r="M10" s="72" t="n">
        <x:f>M9*Inputs!$B$12</x:f>
        <x:v>447.85714285714283</x:v>
      </x:c>
    </x:row>
    <x:row r="11">
      <x:c r="A11" s="50" t="str">
        <x:v>New Enrolled Members</x:v>
      </x:c>
      <x:c r="B11" s="72" t="n">
        <x:f>B10*Inputs!$B$13</x:f>
        <x:v>62.7</x:v>
      </x:c>
      <x:c r="C11" s="72" t="n">
        <x:f>C10*Inputs!$B$13</x:f>
        <x:v>81.51</x:v>
      </x:c>
      <x:c r="D11" s="72" t="n">
        <x:f>D10*Inputs!$B$13</x:f>
        <x:v>100.32000000000002</x:v>
      </x:c>
      <x:c r="E11" s="72" t="n">
        <x:f>E10*Inputs!$B$13</x:f>
        <x:v>119.13000000000001</x:v>
      </x:c>
      <x:c r="F11" s="72" t="n">
        <x:f>F10*Inputs!$B$13</x:f>
        <x:v>137.94</x:v>
      </x:c>
      <x:c r="G11" s="72" t="n">
        <x:f>G10*Inputs!$B$13</x:f>
        <x:v>156.74999999999997</x:v>
      </x:c>
      <x:c r="H11" s="72" t="n">
        <x:f>H10*Inputs!$B$13</x:f>
        <x:v>156.74999999999997</x:v>
      </x:c>
      <x:c r="I11" s="72" t="n">
        <x:f>I10*Inputs!$B$13</x:f>
        <x:v>156.74999999999997</x:v>
      </x:c>
      <x:c r="J11" s="72" t="n">
        <x:f>J10*Inputs!$B$13</x:f>
        <x:v>156.74999999999997</x:v>
      </x:c>
      <x:c r="K11" s="72" t="n">
        <x:f>K10*Inputs!$B$13</x:f>
        <x:v>156.74999999999997</x:v>
      </x:c>
      <x:c r="L11" s="72" t="n">
        <x:f>L10*Inputs!$B$13</x:f>
        <x:v>156.74999999999997</x:v>
      </x:c>
      <x:c r="M11" s="72" t="n">
        <x:f>M10*Inputs!$B$13</x:f>
        <x:v>156.74999999999997</x:v>
      </x:c>
    </x:row>
    <x:row r="12">
      <x:c r="A12" s="50" t="str">
        <x:v>Retained Active Members</x:v>
      </x:c>
      <x:c r="B12" s="72" t="n">
        <x:f>0</x:f>
        <x:v>0</x:v>
      </x:c>
      <x:c r="C12" s="72" t="n">
        <x:f>B13*Inputs!$B$14</x:f>
        <x:v>48.906000000000006</x:v>
      </x:c>
      <x:c r="D12" s="72" t="n">
        <x:f>C13*Inputs!$B$14</x:f>
        <x:v>101.72448</x:v>
      </x:c>
      <x:c r="E12" s="72" t="n">
        <x:f>D13*Inputs!$B$14</x:f>
        <x:v>157.5946944</x:v>
      </x:c>
      <x:c r="F12" s="72" t="n">
        <x:f>E13*Inputs!$B$14</x:f>
        <x:v>215.84526163200005</x:v>
      </x:c>
      <x:c r="G12" s="72" t="n">
        <x:f>F13*Inputs!$B$14</x:f>
        <x:v>275.95250407296004</x:v>
      </x:c>
      <x:c r="H12" s="72" t="n">
        <x:f>G13*Inputs!$B$14</x:f>
        <x:v>337.5079531769088</x:v>
      </x:c>
      <x:c r="I12" s="72" t="n">
        <x:f>H13*Inputs!$B$14</x:f>
        <x:v>385.5212034779889</x:v>
      </x:c>
      <x:c r="J12" s="72" t="n">
        <x:f>I13*Inputs!$B$14</x:f>
        <x:v>422.9715387128313</x:v>
      </x:c>
      <x:c r="K12" s="72" t="n">
        <x:f>J13*Inputs!$B$14</x:f>
        <x:v>452.1828001960084</x:v>
      </x:c>
      <x:c r="L12" s="72" t="n">
        <x:f>K13*Inputs!$B$14</x:f>
        <x:v>474.9675841528865</x:v>
      </x:c>
      <x:c r="M12" s="72" t="n">
        <x:f>L13*Inputs!$B$14</x:f>
        <x:v>492.7397156392515</x:v>
      </x:c>
    </x:row>
    <x:row r="13">
      <x:c r="A13" s="50" t="str">
        <x:v>Ending Active Members</x:v>
      </x:c>
      <x:c r="B13" s="72" t="n">
        <x:f>B11+B12</x:f>
        <x:v>62.7</x:v>
      </x:c>
      <x:c r="C13" s="72" t="n">
        <x:f>C11+C12</x:f>
        <x:v>130.416</x:v>
      </x:c>
      <x:c r="D13" s="72" t="n">
        <x:f>D11+D12</x:f>
        <x:v>202.04448000000002</x:v>
      </x:c>
      <x:c r="E13" s="72" t="n">
        <x:f>E11+E12</x:f>
        <x:v>276.72469440000003</x:v>
      </x:c>
      <x:c r="F13" s="72" t="n">
        <x:f>F11+F12</x:f>
        <x:v>353.785261632</x:v>
      </x:c>
      <x:c r="G13" s="72" t="n">
        <x:f>G11+G12</x:f>
        <x:v>432.70250407296</x:v>
      </x:c>
      <x:c r="H13" s="72" t="n">
        <x:f>H11+H12</x:f>
        <x:v>494.2579531769088</x:v>
      </x:c>
      <x:c r="I13" s="72" t="n">
        <x:f>I11+I12</x:f>
        <x:v>542.2712034779888</x:v>
      </x:c>
      <x:c r="J13" s="72" t="n">
        <x:f>J11+J12</x:f>
        <x:v>579.7215387128313</x:v>
      </x:c>
      <x:c r="K13" s="72" t="n">
        <x:f>K11+K12</x:f>
        <x:v>608.9328001960083</x:v>
      </x:c>
      <x:c r="L13" s="72" t="n">
        <x:f>L11+L12</x:f>
        <x:v>631.7175841528865</x:v>
      </x:c>
      <x:c r="M13" s="72" t="n">
        <x:f>M11+M12</x:f>
        <x:v>649.4897156392515</x:v>
      </x:c>
    </x:row>
    <x:row r="14">
      <x:c r="A14" s="50" t="str">
        <x:v>CAC / New Member</x:v>
      </x:c>
      <x:c r="B14" s="74" t="n">
        <x:f>IFERROR(B5/B11,0)</x:f>
        <x:v>159.48963317384369</x:v>
      </x:c>
      <x:c r="C14" s="74" t="n">
        <x:f>IFERROR(C5/C11,0)</x:f>
        <x:v>159.48963317384369</x:v>
      </x:c>
      <x:c r="D14" s="74" t="n">
        <x:f>IFERROR(D5/D11,0)</x:f>
        <x:v>159.48963317384366</x:v>
      </x:c>
      <x:c r="E14" s="74" t="n">
        <x:f>IFERROR(E5/E11,0)</x:f>
        <x:v>159.48963317384369</x:v>
      </x:c>
      <x:c r="F14" s="74" t="n">
        <x:f>IFERROR(F5/F11,0)</x:f>
        <x:v>159.4896331738437</x:v>
      </x:c>
      <x:c r="G14" s="74" t="n">
        <x:f>IFERROR(G5/G11,0)</x:f>
        <x:v>159.48963317384374</x:v>
      </x:c>
      <x:c r="H14" s="74" t="n">
        <x:f>IFERROR(H5/H11,0)</x:f>
        <x:v>159.48963317384374</x:v>
      </x:c>
      <x:c r="I14" s="74" t="n">
        <x:f>IFERROR(I5/I11,0)</x:f>
        <x:v>159.48963317384374</x:v>
      </x:c>
      <x:c r="J14" s="74" t="n">
        <x:f>IFERROR(J5/J11,0)</x:f>
        <x:v>159.48963317384374</x:v>
      </x:c>
      <x:c r="K14" s="74" t="n">
        <x:f>IFERROR(K5/K11,0)</x:f>
        <x:v>159.48963317384374</x:v>
      </x:c>
      <x:c r="L14" s="74" t="n">
        <x:f>IFERROR(L5/L11,0)</x:f>
        <x:v>159.48963317384374</x:v>
      </x:c>
      <x:c r="M14" s="74" t="n">
        <x:f>IFERROR(M5/M11,0)</x:f>
        <x:v>159.48963317384374</x:v>
      </x:c>
    </x:row>
    <x:row r="15">
      <x:c r="A15" s="50" t="str">
        <x:v>BASE Revenue / Active Member Month</x:v>
      </x:c>
      <x:c r="B15" s="74" t="n">
        <x:f>Inputs!$B$15</x:f>
        <x:v>65</x:v>
      </x:c>
      <x:c r="C15" s="74" t="n">
        <x:f>Inputs!$B$15</x:f>
        <x:v>65</x:v>
      </x:c>
      <x:c r="D15" s="74" t="n">
        <x:f>Inputs!$B$15</x:f>
        <x:v>65</x:v>
      </x:c>
      <x:c r="E15" s="74" t="n">
        <x:f>Inputs!$B$15</x:f>
        <x:v>65</x:v>
      </x:c>
      <x:c r="F15" s="74" t="n">
        <x:f>Inputs!$B$15</x:f>
        <x:v>65</x:v>
      </x:c>
      <x:c r="G15" s="74" t="n">
        <x:f>Inputs!$B$15</x:f>
        <x:v>65</x:v>
      </x:c>
      <x:c r="H15" s="74" t="n">
        <x:f>Inputs!$B$15</x:f>
        <x:v>65</x:v>
      </x:c>
      <x:c r="I15" s="74" t="n">
        <x:f>Inputs!$B$15</x:f>
        <x:v>65</x:v>
      </x:c>
      <x:c r="J15" s="74" t="n">
        <x:f>Inputs!$B$15</x:f>
        <x:v>65</x:v>
      </x:c>
      <x:c r="K15" s="74" t="n">
        <x:f>Inputs!$B$15</x:f>
        <x:v>65</x:v>
      </x:c>
      <x:c r="L15" s="74" t="n">
        <x:f>Inputs!$B$15</x:f>
        <x:v>65</x:v>
      </x:c>
      <x:c r="M15" s="74" t="n">
        <x:f>Inputs!$B$15</x:f>
        <x:v>65</x:v>
      </x:c>
    </x:row>
    <x:row r="16">
      <x:c r="A16" s="50" t="str">
        <x:v>Revenue</x:v>
      </x:c>
      <x:c r="B16" s="74" t="n">
        <x:f>B13*B15</x:f>
        <x:v>4075.5</x:v>
      </x:c>
      <x:c r="C16" s="74" t="n">
        <x:f>C13*C15</x:f>
        <x:v>8477.039999999999</x:v>
      </x:c>
      <x:c r="D16" s="74" t="n">
        <x:f>D13*D15</x:f>
        <x:v>13132.891200000002</x:v>
      </x:c>
      <x:c r="E16" s="74" t="n">
        <x:f>E13*E15</x:f>
        <x:v>17987.105136000002</x:v>
      </x:c>
      <x:c r="F16" s="74" t="n">
        <x:f>F13*F15</x:f>
        <x:v>22996.042006080002</x:v>
      </x:c>
      <x:c r="G16" s="74" t="n">
        <x:f>G13*G15</x:f>
        <x:v>28125.6627647424</x:v>
      </x:c>
      <x:c r="H16" s="74" t="n">
        <x:f>H13*H15</x:f>
        <x:v>32126.766956499072</x:v>
      </x:c>
      <x:c r="I16" s="74" t="n">
        <x:f>I13*I15</x:f>
        <x:v>35247.628226069275</x:v>
      </x:c>
      <x:c r="J16" s="74" t="n">
        <x:f>J13*J15</x:f>
        <x:v>37681.90001633403</x:v>
      </x:c>
      <x:c r="K16" s="74" t="n">
        <x:f>K13*K15</x:f>
        <x:v>39580.63201274054</x:v>
      </x:c>
      <x:c r="L16" s="74" t="n">
        <x:f>L13*L15</x:f>
        <x:v>41061.642969937624</x:v>
      </x:c>
      <x:c r="M16" s="74" t="n">
        <x:f>M13*M15</x:f>
        <x:v>42216.83151655135</x:v>
      </x:c>
    </x:row>
    <x:row r="17">
      <x:c r="A17" s="50" t="str">
        <x:v>Support Cost</x:v>
      </x:c>
      <x:c r="B17" s="74" t="n">
        <x:f>B13*Inputs!$B$16</x:f>
        <x:v>752.4000000000001</x:v>
      </x:c>
      <x:c r="C17" s="74" t="n">
        <x:f>C13*Inputs!$B$16</x:f>
        <x:v>1564.992</x:v>
      </x:c>
      <x:c r="D17" s="74" t="n">
        <x:f>D13*Inputs!$B$16</x:f>
        <x:v>2424.5337600000003</x:v>
      </x:c>
      <x:c r="E17" s="74" t="n">
        <x:f>E13*Inputs!$B$16</x:f>
        <x:v>3320.6963328</x:v>
      </x:c>
      <x:c r="F17" s="74" t="n">
        <x:f>F13*Inputs!$B$16</x:f>
        <x:v>4245.423139584</x:v>
      </x:c>
      <x:c r="G17" s="74" t="n">
        <x:f>G13*Inputs!$B$16</x:f>
        <x:v>5192.43004887552</x:v>
      </x:c>
      <x:c r="H17" s="74" t="n">
        <x:f>H13*Inputs!$B$16</x:f>
        <x:v>5931.095438122906</x:v>
      </x:c>
      <x:c r="I17" s="74" t="n">
        <x:f>I13*Inputs!$B$16</x:f>
        <x:v>6507.254441735866</x:v>
      </x:c>
      <x:c r="J17" s="74" t="n">
        <x:f>J13*Inputs!$B$16</x:f>
        <x:v>6956.658464553975</x:v>
      </x:c>
      <x:c r="K17" s="74" t="n">
        <x:f>K13*Inputs!$B$16</x:f>
        <x:v>7307.193602352099</x:v>
      </x:c>
      <x:c r="L17" s="74" t="n">
        <x:f>L13*Inputs!$B$16</x:f>
        <x:v>7580.611009834638</x:v>
      </x:c>
      <x:c r="M17" s="74" t="n">
        <x:f>M13*Inputs!$B$16</x:f>
        <x:v>7793.876587671018</x:v>
      </x:c>
    </x:row>
    <x:row r="18">
      <x:c r="A18" s="76" t="str">
        <x:v>Gross Profit</x:v>
      </x:c>
      <x:c r="B18" s="78" t="n">
        <x:f>B16-B17</x:f>
        <x:v>3323.1</x:v>
      </x:c>
      <x:c r="C18" s="78" t="n">
        <x:f>C16-C17</x:f>
        <x:v>6912.047999999999</x:v>
      </x:c>
      <x:c r="D18" s="78" t="n">
        <x:f>D16-D17</x:f>
        <x:v>10708.357440000002</x:v>
      </x:c>
      <x:c r="E18" s="78" t="n">
        <x:f>E16-E17</x:f>
        <x:v>14666.408803200002</x:v>
      </x:c>
      <x:c r="F18" s="78" t="n">
        <x:f>F16-F17</x:f>
        <x:v>18750.618866496003</x:v>
      </x:c>
      <x:c r="G18" s="78" t="n">
        <x:f>G16-G17</x:f>
        <x:v>22933.232715866878</x:v>
      </x:c>
      <x:c r="H18" s="78" t="n">
        <x:f>H16-H17</x:f>
        <x:v>26195.671518376166</x:v>
      </x:c>
      <x:c r="I18" s="78" t="n">
        <x:f>I16-I17</x:f>
        <x:v>28740.37378433341</x:v>
      </x:c>
      <x:c r="J18" s="78" t="n">
        <x:f>J16-J17</x:f>
        <x:v>30725.241551780055</x:v>
      </x:c>
      <x:c r="K18" s="78" t="n">
        <x:f>K16-K17</x:f>
        <x:v>32273.438410388444</x:v>
      </x:c>
      <x:c r="L18" s="78" t="n">
        <x:f>L16-L17</x:f>
        <x:v>33481.031960102984</x:v>
      </x:c>
      <x:c r="M18" s="78" t="n">
        <x:f>M16-M17</x:f>
        <x:v>34422.95492888033</x:v>
      </x:c>
    </x:row>
    <x:row r="19">
      <x:c r="A19" s="50" t="str">
        <x:v>Fixed Platform/Ops</x:v>
      </x:c>
      <x:c r="B19" s="74" t="n">
        <x:f>Inputs!$B$17</x:f>
        <x:v>6500</x:v>
      </x:c>
      <x:c r="C19" s="74" t="n">
        <x:f>Inputs!$B$17</x:f>
        <x:v>6500</x:v>
      </x:c>
      <x:c r="D19" s="74" t="n">
        <x:f>Inputs!$B$17</x:f>
        <x:v>6500</x:v>
      </x:c>
      <x:c r="E19" s="74" t="n">
        <x:f>Inputs!$B$17</x:f>
        <x:v>6500</x:v>
      </x:c>
      <x:c r="F19" s="74" t="n">
        <x:f>Inputs!$B$17</x:f>
        <x:v>6500</x:v>
      </x:c>
      <x:c r="G19" s="74" t="n">
        <x:f>Inputs!$B$17</x:f>
        <x:v>6500</x:v>
      </x:c>
      <x:c r="H19" s="74" t="n">
        <x:f>Inputs!$B$17</x:f>
        <x:v>6500</x:v>
      </x:c>
      <x:c r="I19" s="74" t="n">
        <x:f>Inputs!$B$17</x:f>
        <x:v>6500</x:v>
      </x:c>
      <x:c r="J19" s="74" t="n">
        <x:f>Inputs!$B$17</x:f>
        <x:v>6500</x:v>
      </x:c>
      <x:c r="K19" s="74" t="n">
        <x:f>Inputs!$B$17</x:f>
        <x:v>6500</x:v>
      </x:c>
      <x:c r="L19" s="74" t="n">
        <x:f>Inputs!$B$17</x:f>
        <x:v>6500</x:v>
      </x:c>
      <x:c r="M19" s="74" t="n">
        <x:f>Inputs!$B$17</x:f>
        <x:v>6500</x:v>
      </x:c>
    </x:row>
    <x:row r="20">
      <x:c r="A20" s="50" t="str">
        <x:v>Marketing Spend</x:v>
      </x:c>
      <x:c r="B20" s="74" t="n">
        <x:f>B5</x:f>
        <x:v>10000</x:v>
      </x:c>
      <x:c r="C20" s="74" t="n">
        <x:f>C5</x:f>
        <x:v>13000</x:v>
      </x:c>
      <x:c r="D20" s="74" t="n">
        <x:f>D5</x:f>
        <x:v>16000</x:v>
      </x:c>
      <x:c r="E20" s="74" t="n">
        <x:f>E5</x:f>
        <x:v>19000</x:v>
      </x:c>
      <x:c r="F20" s="74" t="n">
        <x:f>F5</x:f>
        <x:v>22000</x:v>
      </x:c>
      <x:c r="G20" s="74" t="n">
        <x:f>G5</x:f>
        <x:v>25000</x:v>
      </x:c>
      <x:c r="H20" s="74" t="n">
        <x:f>H5</x:f>
        <x:v>25000</x:v>
      </x:c>
      <x:c r="I20" s="74" t="n">
        <x:f>I5</x:f>
        <x:v>25000</x:v>
      </x:c>
      <x:c r="J20" s="74" t="n">
        <x:f>J5</x:f>
        <x:v>25000</x:v>
      </x:c>
      <x:c r="K20" s="74" t="n">
        <x:f>K5</x:f>
        <x:v>25000</x:v>
      </x:c>
      <x:c r="L20" s="74" t="n">
        <x:f>L5</x:f>
        <x:v>25000</x:v>
      </x:c>
      <x:c r="M20" s="74" t="n">
        <x:f>M5</x:f>
        <x:v>25000</x:v>
      </x:c>
    </x:row>
    <x:row r="21">
      <x:c r="A21" s="50" t="str">
        <x:v>EBITDA Before Startup</x:v>
      </x:c>
      <x:c r="B21" s="83" t="n">
        <x:f>B18-B19-B20</x:f>
        <x:v>-13176.9</x:v>
      </x:c>
      <x:c r="C21" s="83" t="n">
        <x:f>C18-C19-C20</x:f>
        <x:v>-12587.952000000001</x:v>
      </x:c>
      <x:c r="D21" s="83" t="n">
        <x:f>D18-D19-D20</x:f>
        <x:v>-11791.642559999998</x:v>
      </x:c>
      <x:c r="E21" s="83" t="n">
        <x:f>E18-E19-E20</x:f>
        <x:v>-10833.591196799998</x:v>
      </x:c>
      <x:c r="F21" s="83" t="n">
        <x:f>F18-F19-F20</x:f>
        <x:v>-9749.381133503997</x:v>
      </x:c>
      <x:c r="G21" s="83" t="n">
        <x:f>G18-G19-G20</x:f>
        <x:v>-8566.767284133122</x:v>
      </x:c>
      <x:c r="H21" s="83" t="n">
        <x:f>H18-H19-H20</x:f>
        <x:v>-5304.328481623834</x:v>
      </x:c>
      <x:c r="I21" s="83" t="n">
        <x:f>I18-I19-I20</x:f>
        <x:v>-2759.6262156665907</x:v>
      </x:c>
      <x:c r="J21" s="83" t="n">
        <x:f>J18-J19-J20</x:f>
        <x:v>-774.7584482199454</x:v>
      </x:c>
      <x:c r="K21" s="83" t="n">
        <x:f>K18-K19-K20</x:f>
        <x:v>773.438410388444</x:v>
      </x:c>
      <x:c r="L21" s="83" t="n">
        <x:f>L18-L19-L20</x:f>
        <x:v>1981.0319601029842</x:v>
      </x:c>
      <x:c r="M21" s="83" t="n">
        <x:f>M18-M19-M20</x:f>
        <x:v>2922.954928880332</x:v>
      </x:c>
    </x:row>
    <x:row r="22">
      <x:c r="A22" s="50" t="str">
        <x:v>Allocated Startup Costs</x:v>
      </x:c>
      <x:c r="B22" s="83" t="n">
        <x:f>'Startup Costs'!$H$17*60%</x:f>
        <x:v>125580</x:v>
      </x:c>
      <x:c r="C22" s="83" t="n">
        <x:f>'Startup Costs'!$H$17*30%</x:f>
        <x:v>62790</x:v>
      </x:c>
      <x:c r="D22" s="83" t="n">
        <x:f>'Startup Costs'!$H$17*10%</x:f>
        <x:v>20930</x:v>
      </x:c>
      <x:c r="E22" s="83" t="n">
        <x:f>0</x:f>
        <x:v>0</x:v>
      </x:c>
      <x:c r="F22" s="83" t="n">
        <x:f>0</x:f>
        <x:v>0</x:v>
      </x:c>
      <x:c r="G22" s="83" t="n">
        <x:f>0</x:f>
        <x:v>0</x:v>
      </x:c>
      <x:c r="H22" s="83" t="n">
        <x:f>0</x:f>
        <x:v>0</x:v>
      </x:c>
      <x:c r="I22" s="83" t="n">
        <x:f>0</x:f>
        <x:v>0</x:v>
      </x:c>
      <x:c r="J22" s="83" t="n">
        <x:f>0</x:f>
        <x:v>0</x:v>
      </x:c>
      <x:c r="K22" s="83" t="n">
        <x:f>0</x:f>
        <x:v>0</x:v>
      </x:c>
      <x:c r="L22" s="83" t="n">
        <x:f>0</x:f>
        <x:v>0</x:v>
      </x:c>
      <x:c r="M22" s="83" t="n">
        <x:f>0</x:f>
        <x:v>0</x:v>
      </x:c>
    </x:row>
    <x:row r="23">
      <x:c r="A23" s="50" t="str">
        <x:v>EBITDA After Startup</x:v>
      </x:c>
      <x:c r="B23" s="83" t="n">
        <x:f>B21-B22</x:f>
        <x:v>-138756.9</x:v>
      </x:c>
      <x:c r="C23" s="83" t="n">
        <x:f>C21-C22</x:f>
        <x:v>-75377.952</x:v>
      </x:c>
      <x:c r="D23" s="83" t="n">
        <x:f>D21-D22</x:f>
        <x:v>-32721.64256</x:v>
      </x:c>
      <x:c r="E23" s="83" t="n">
        <x:f>E21-E22</x:f>
        <x:v>-10833.591196799998</x:v>
      </x:c>
      <x:c r="F23" s="83" t="n">
        <x:f>F21-F22</x:f>
        <x:v>-9749.381133503997</x:v>
      </x:c>
      <x:c r="G23" s="83" t="n">
        <x:f>G21-G22</x:f>
        <x:v>-8566.767284133122</x:v>
      </x:c>
      <x:c r="H23" s="83" t="n">
        <x:f>H21-H22</x:f>
        <x:v>-5304.328481623834</x:v>
      </x:c>
      <x:c r="I23" s="83" t="n">
        <x:f>I21-I22</x:f>
        <x:v>-2759.6262156665907</x:v>
      </x:c>
      <x:c r="J23" s="83" t="n">
        <x:f>J21-J22</x:f>
        <x:v>-774.7584482199454</x:v>
      </x:c>
      <x:c r="K23" s="83" t="n">
        <x:f>K21-K22</x:f>
        <x:v>773.438410388444</x:v>
      </x:c>
      <x:c r="L23" s="83" t="n">
        <x:f>L21-L22</x:f>
        <x:v>1981.0319601029842</x:v>
      </x:c>
      <x:c r="M23" s="83" t="n">
        <x:f>M21-M22</x:f>
        <x:v>2922.954928880332</x:v>
      </x:c>
    </x:row>
  </x:sheetData>
  <x:mergeCells>
    <x:mergeCell ref="A1:M1"/>
    <x:mergeCell ref="A3:M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4" hidden="0" customWidth="1"/>
    <x:col min="3" max="3" width="2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8" hidden="0" customWidth="1"/>
  </x:cols>
  <x:sheetData>
    <x:row r="1" ht="30" customHeight="1">
      <x:c r="A1" s="102" t="str">
        <x:v>BASEmd Startup Cost Plan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3" ht="24" customHeight="1">
      <x:c r="A3" s="38" t="str">
        <x:v>Category</x:v>
      </x:c>
      <x:c r="B3" s="38" t="str">
        <x:v>Item</x:v>
      </x:c>
      <x:c r="C3" s="38" t="str">
        <x:v>Owner</x:v>
      </x:c>
      <x:c r="D3" s="38" t="str">
        <x:v>Timing</x:v>
      </x:c>
      <x:c r="E3" s="38" t="str">
        <x:v>Low ($)</x:v>
      </x:c>
      <x:c r="F3" s="38" t="str">
        <x:v>Base ($)</x:v>
      </x:c>
      <x:c r="G3" s="38" t="str">
        <x:v>High ($)</x:v>
      </x:c>
      <x:c r="H3" s="38" t="str">
        <x:v>Model Selected ($)</x:v>
      </x:c>
      <x:c r="I3" s="38" t="str">
        <x:v>Notes</x:v>
      </x:c>
    </x:row>
    <x:row r="4">
      <x:c r="A4" s="50" t="str">
        <x:v>Legal</x:v>
      </x:c>
      <x:c r="B4" t="str">
        <x:v>Entity/contract architecture: CPOM, AKS/Stark-adjacent review, partner agreements</x:v>
      </x:c>
      <x:c r="C4" t="str">
        <x:v>Healthcare counsel</x:v>
      </x:c>
      <x:c r="D4" t="str">
        <x:v>Weeks 0-4</x:v>
      </x:c>
      <x:c r="E4" s="44" t="n">
        <x:v>18000</x:v>
      </x:c>
      <x:c r="F4" s="44" t="n">
        <x:v>35000</x:v>
      </x:c>
      <x:c r="G4" s="44" t="n">
        <x:v>60000</x:v>
      </x:c>
      <x:c r="H4" s="44" t="n">
        <x:f>F4</x:f>
        <x:v>35000</x:v>
      </x:c>
      <x:c r="I4" s="64" t="str">
        <x:v>Required before public launch.</x:v>
      </x:c>
    </x:row>
    <x:row r="5">
      <x:c r="A5" s="50" t="str">
        <x:v>Compliance</x:v>
      </x:c>
      <x:c r="B5" t="str">
        <x:v>Ad claims, website, privacy, HIPAA/tracking review</x:v>
      </x:c>
      <x:c r="C5" t="str">
        <x:v>Counsel + compliance lead</x:v>
      </x:c>
      <x:c r="D5" t="str">
        <x:v>Weeks 0-6</x:v>
      </x:c>
      <x:c r="E5" s="44" t="n">
        <x:v>7500</x:v>
      </x:c>
      <x:c r="F5" s="44" t="n">
        <x:v>15000</x:v>
      </x:c>
      <x:c r="G5" s="44" t="n">
        <x:v>30000</x:v>
      </x:c>
      <x:c r="H5" s="44" t="n">
        <x:f>F5</x:f>
        <x:v>15000</x:v>
      </x:c>
      <x:c r="I5" s="64" t="str">
        <x:v>Approve all claims and tracking before spend.</x:v>
      </x:c>
    </x:row>
    <x:row r="6">
      <x:c r="A6" s="50" t="str">
        <x:v>Partners</x:v>
      </x:c>
      <x:c r="B6" t="str">
        <x:v>Provider/lab/pharmacy partner sourcing + contracting</x:v>
      </x:c>
      <x:c r="C6" t="str">
        <x:v>Ops lead</x:v>
      </x:c>
      <x:c r="D6" t="str">
        <x:v>Weeks 2-8</x:v>
      </x:c>
      <x:c r="E6" s="44" t="n">
        <x:v>5000</x:v>
      </x:c>
      <x:c r="F6" s="44" t="n">
        <x:v>12000</x:v>
      </x:c>
      <x:c r="G6" s="44" t="n">
        <x:v>25000</x:v>
      </x:c>
      <x:c r="H6" s="44" t="n">
        <x:f>F6</x:f>
        <x:v>12000</x:v>
      </x:c>
      <x:c r="I6" s="64" t="str">
        <x:v>No inventory model depends on partner capacity.</x:v>
      </x:c>
    </x:row>
    <x:row r="7">
      <x:c r="A7" s="50" t="str">
        <x:v>Privacy/Security</x:v>
      </x:c>
      <x:c r="B7" t="str">
        <x:v>HIPAA privacy/security risk assessment and BAAs where applicable</x:v>
      </x:c>
      <x:c r="C7" t="str">
        <x:v>Security consultant</x:v>
      </x:c>
      <x:c r="D7" t="str">
        <x:v>Weeks 2-8</x:v>
      </x:c>
      <x:c r="E7" s="44" t="n">
        <x:v>5000</x:v>
      </x:c>
      <x:c r="F7" s="44" t="n">
        <x:v>12000</x:v>
      </x:c>
      <x:c r="G7" s="44" t="n">
        <x:v>22000</x:v>
      </x:c>
      <x:c r="H7" s="44" t="n">
        <x:f>F7</x:f>
        <x:v>12000</x:v>
      </x:c>
      <x:c r="I7" s="64" t="str">
        <x:v>Avoid healthcare pixel mistakes.</x:v>
      </x:c>
    </x:row>
    <x:row r="8">
      <x:c r="A8" s="50" t="str">
        <x:v>Website</x:v>
      </x:c>
      <x:c r="B8" t="str">
        <x:v>BASEmd website, funnel, content architecture, QA</x:v>
      </x:c>
      <x:c r="C8" t="str">
        <x:v>Web team/Codex</x:v>
      </x:c>
      <x:c r="D8" t="str">
        <x:v>Weeks 2-8</x:v>
      </x:c>
      <x:c r="E8" s="44" t="n">
        <x:v>12000</x:v>
      </x:c>
      <x:c r="F8" s="44" t="n">
        <x:v>25000</x:v>
      </x:c>
      <x:c r="G8" s="44" t="n">
        <x:v>45000</x:v>
      </x:c>
      <x:c r="H8" s="44" t="n">
        <x:f>F8</x:f>
        <x:v>25000</x:v>
      </x:c>
      <x:c r="I8" s="64" t="str">
        <x:v>Target path: strategic500.com/BASEmd.</x:v>
      </x:c>
    </x:row>
    <x:row r="9">
      <x:c r="A9" s="50" t="str">
        <x:v>CRM</x:v>
      </x:c>
      <x:c r="B9" t="str">
        <x:v>CRM, marketing automation, attribution, lead routing</x:v>
      </x:c>
      <x:c r="C9" t="str">
        <x:v>RevOps</x:v>
      </x:c>
      <x:c r="D9" t="str">
        <x:v>Weeks 4-9</x:v>
      </x:c>
      <x:c r="E9" s="44" t="n">
        <x:v>6000</x:v>
      </x:c>
      <x:c r="F9" s="44" t="n">
        <x:v>12000</x:v>
      </x:c>
      <x:c r="G9" s="44" t="n">
        <x:v>22000</x:v>
      </x:c>
      <x:c r="H9" s="44" t="n">
        <x:f>F9</x:f>
        <x:v>12000</x:v>
      </x:c>
      <x:c r="I9" s="64" t="str">
        <x:v>Keep PHI out of ad platforms.</x:v>
      </x:c>
    </x:row>
    <x:row r="10">
      <x:c r="A10" s="50" t="str">
        <x:v>Intake</x:v>
      </x:c>
      <x:c r="B10" t="str">
        <x:v>Assessment workflow, routing, eligibility logic, partner handoff</x:v>
      </x:c>
      <x:c r="C10" t="str">
        <x:v>Ops + clinical partner</x:v>
      </x:c>
      <x:c r="D10" t="str">
        <x:v>Weeks 4-10</x:v>
      </x:c>
      <x:c r="E10" s="44" t="n">
        <x:v>8000</x:v>
      </x:c>
      <x:c r="F10" s="44" t="n">
        <x:v>18000</x:v>
      </x:c>
      <x:c r="G10" s="44" t="n">
        <x:v>35000</x:v>
      </x:c>
      <x:c r="H10" s="44" t="n">
        <x:f>F10</x:f>
        <x:v>18000</x:v>
      </x:c>
      <x:c r="I10" s="64" t="str">
        <x:v>Clinical content owned by provider partner.</x:v>
      </x:c>
    </x:row>
    <x:row r="11">
      <x:c r="A11" s="50" t="str">
        <x:v>Creative</x:v>
      </x:c>
      <x:c r="B11" t="str">
        <x:v>Launch creative, landing copy, program pages, email flows</x:v>
      </x:c>
      <x:c r="C11" t="str">
        <x:v>Marketing</x:v>
      </x:c>
      <x:c r="D11" t="str">
        <x:v>Weeks 4-10</x:v>
      </x:c>
      <x:c r="E11" s="44" t="n">
        <x:v>6000</x:v>
      </x:c>
      <x:c r="F11" s="44" t="n">
        <x:v>15000</x:v>
      </x:c>
      <x:c r="G11" s="44" t="n">
        <x:v>30000</x:v>
      </x:c>
      <x:c r="H11" s="44" t="n">
        <x:f>F11</x:f>
        <x:v>15000</x:v>
      </x:c>
      <x:c r="I11" s="64" t="str">
        <x:v>Original content, no copied site assets.</x:v>
      </x:c>
    </x:row>
    <x:row r="12">
      <x:c r="A12" s="50" t="str">
        <x:v>Media</x:v>
      </x:c>
      <x:c r="B12" t="str">
        <x:v>Paid media setup, ad account prep, test creative, measurement plan</x:v>
      </x:c>
      <x:c r="C12" t="str">
        <x:v>Growth lead</x:v>
      </x:c>
      <x:c r="D12" t="str">
        <x:v>Weeks 8-12</x:v>
      </x:c>
      <x:c r="E12" s="44" t="n">
        <x:v>8000</x:v>
      </x:c>
      <x:c r="F12" s="44" t="n">
        <x:v>18000</x:v>
      </x:c>
      <x:c r="G12" s="44" t="n">
        <x:v>35000</x:v>
      </x:c>
      <x:c r="H12" s="44" t="n">
        <x:f>F12</x:f>
        <x:v>18000</x:v>
      </x:c>
      <x:c r="I12" s="64" t="str">
        <x:v>Does not include media spend.</x:v>
      </x:c>
    </x:row>
    <x:row r="13">
      <x:c r="A13" s="50" t="str">
        <x:v>Insurance</x:v>
      </x:c>
      <x:c r="B13" t="str">
        <x:v>Cyber, E&amp;O, contractual risk coverage review</x:v>
      </x:c>
      <x:c r="C13" t="str">
        <x:v>Broker</x:v>
      </x:c>
      <x:c r="D13" t="str">
        <x:v>Weeks 6-12</x:v>
      </x:c>
      <x:c r="E13" s="44" t="n">
        <x:v>5000</x:v>
      </x:c>
      <x:c r="F13" s="44" t="n">
        <x:v>10000</x:v>
      </x:c>
      <x:c r="G13" s="44" t="n">
        <x:v>20000</x:v>
      </x:c>
      <x:c r="H13" s="44" t="n">
        <x:f>F13</x:f>
        <x:v>10000</x:v>
      </x:c>
      <x:c r="I13" s="64" t="str">
        <x:v>Obtain quotes.</x:v>
      </x:c>
    </x:row>
    <x:row r="14">
      <x:c r="A14" s="50" t="str">
        <x:v>Training</x:v>
      </x:c>
      <x:c r="B14" t="str">
        <x:v>Support SOPs, escalation paths, complaint handling</x:v>
      </x:c>
      <x:c r="C14" t="str">
        <x:v>Ops</x:v>
      </x:c>
      <x:c r="D14" t="str">
        <x:v>Weeks 8-12</x:v>
      </x:c>
      <x:c r="E14" s="44" t="n">
        <x:v>4000</x:v>
      </x:c>
      <x:c r="F14" s="44" t="n">
        <x:v>10000</x:v>
      </x:c>
      <x:c r="G14" s="44" t="n">
        <x:v>18000</x:v>
      </x:c>
      <x:c r="H14" s="44" t="n">
        <x:f>F14</x:f>
        <x:v>10000</x:v>
      </x:c>
      <x:c r="I14" s="64" t="str">
        <x:v>Do not give medical advice.</x:v>
      </x:c>
    </x:row>
    <x:row r="15">
      <x:c r="A15" s="50" t="str">
        <x:v>Contingency</x:v>
      </x:c>
      <x:c r="B15" t="str">
        <x:v>Contingency reserve at 15% of selected direct startup costs</x:v>
      </x:c>
      <x:c r="C15" t="str">
        <x:v>Finance</x:v>
      </x:c>
      <x:c r="D15" t="str">
        <x:v>Budget reserve</x:v>
      </x:c>
      <x:c r="E15" s="44"/>
      <x:c r="F15" s="44"/>
      <x:c r="G15" s="44"/>
      <x:c r="H15" s="44" t="n">
        <x:f>SUM(H4:H14)*15%</x:f>
        <x:v>27300</x:v>
      </x:c>
      <x:c r="I15" s="64" t="str">
        <x:v>Formula-driven.</x:v>
      </x:c>
    </x:row>
    <x:row r="16">
      <x:c r="A16" s="50" t="str">
        <x:v>TOTAL</x:v>
      </x:c>
      <x:c r="B16" t="str"/>
      <x:c r="C16" t="str"/>
      <x:c r="D16" t="str"/>
      <x:c r="E16" s="44"/>
      <x:c r="F16" s="44"/>
      <x:c r="G16" s="44"/>
      <x:c r="H16" s="44" t="n">
        <x:f>SUM(H4:H15)</x:f>
        <x:v>209300</x:v>
      </x:c>
      <x:c r="I16" s="64" t="str"/>
    </x:row>
    <x:row r="17">
      <x:c r="A17" s="86" t="str">
        <x:v>MODEL TOTAL</x:v>
      </x:c>
      <x:c r="B17" s="86" t="str"/>
      <x:c r="C17" s="86" t="str"/>
      <x:c r="D17" s="86" t="str"/>
      <x:c r="E17" s="88" t="str"/>
      <x:c r="F17" s="88" t="str"/>
      <x:c r="G17" s="88" t="str"/>
      <x:c r="H17" s="88" t="n">
        <x:f>SUM(H4:H15)</x:f>
        <x:v>209300</x:v>
      </x:c>
      <x:c r="I17" s="90" t="str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7fc6436594ed40cb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54" hidden="0" customWidth="1"/>
    <x:col min="5" max="5" width="24" hidden="0" customWidth="1"/>
    <x:col min="6" max="6" width="42" hidden="0" customWidth="1"/>
  </x:cols>
  <x:sheetData>
    <x:row r="1" ht="30" customHeight="1">
      <x:c r="A1" s="102" t="str">
        <x:v>BASEmd Launch Timeline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3" ht="24" customHeight="1">
      <x:c r="A3" s="38" t="str">
        <x:v>Phase</x:v>
      </x:c>
      <x:c r="B3" s="38" t="str">
        <x:v>Timing</x:v>
      </x:c>
      <x:c r="C3" s="38" t="str">
        <x:v>Workstream</x:v>
      </x:c>
      <x:c r="D3" s="38" t="str">
        <x:v>Deliverable</x:v>
      </x:c>
      <x:c r="E3" s="38" t="str">
        <x:v>Owner</x:v>
      </x:c>
      <x:c r="F3" s="38" t="str">
        <x:v>Dependency / Gate</x:v>
      </x:c>
    </x:row>
    <x:row r="4">
      <x:c r="A4" s="93" t="str">
        <x:v>1</x:v>
      </x:c>
      <x:c r="B4" t="str">
        <x:v>Weeks 0–2</x:v>
      </x:c>
      <x:c r="C4" t="str">
        <x:v>Executive decisions</x:v>
      </x:c>
      <x:c r="D4" s="64" t="str">
        <x:v>Confirm BASEmd operating model, state launch scope, economics, risk appetite</x:v>
      </x:c>
      <x:c r="E4" s="64" t="str">
        <x:v>BASE + Strategic 500</x:v>
      </x:c>
      <x:c r="F4" s="64" t="str">
        <x:v>Do not spend media until structure is approved</x:v>
      </x:c>
    </x:row>
    <x:row r="5">
      <x:c r="A5" s="93" t="str">
        <x:v>2</x:v>
      </x:c>
      <x:c r="B5" t="str">
        <x:v>Weeks 0–4</x:v>
      </x:c>
      <x:c r="C5" t="str">
        <x:v>Legal architecture</x:v>
      </x:c>
      <x:c r="D5" s="64" t="str">
        <x:v>Entity/contract review, CPOM/AKS/Stark-adjacent analysis, partner contract templates</x:v>
      </x:c>
      <x:c r="E5" s="64" t="str">
        <x:v>Healthcare counsel</x:v>
      </x:c>
      <x:c r="F5" s="64" t="str">
        <x:v>Defines what BASEmd can say and earn</x:v>
      </x:c>
    </x:row>
    <x:row r="6">
      <x:c r="A6" s="93" t="str">
        <x:v>3</x:v>
      </x:c>
      <x:c r="B6" t="str">
        <x:v>Weeks 2–6</x:v>
      </x:c>
      <x:c r="C6" t="str">
        <x:v>Partner sourcing</x:v>
      </x:c>
      <x:c r="D6" s="64" t="str">
        <x:v>Shortlist clinical provider group, lab partner, pharmacy partner, and BAAs/data terms</x:v>
      </x:c>
      <x:c r="E6" s="64" t="str">
        <x:v>Ops lead</x:v>
      </x:c>
      <x:c r="F6" s="64" t="str">
        <x:v>No inventory held by BASE</x:v>
      </x:c>
    </x:row>
    <x:row r="7">
      <x:c r="A7" s="93" t="str">
        <x:v>4</x:v>
      </x:c>
      <x:c r="B7" t="str">
        <x:v>Weeks 2–8</x:v>
      </x:c>
      <x:c r="C7" t="str">
        <x:v>Website build</x:v>
      </x:c>
      <x:c r="D7" s="64" t="str">
        <x:v>Build strategic500.com/BASEmd homepage and program pages from included website package</x:v>
      </x:c>
      <x:c r="E7" s="64" t="str">
        <x:v>Codex/Web</x:v>
      </x:c>
      <x:c r="F7" s="64" t="str">
        <x:v>Use approved copy and logo</x:v>
      </x:c>
    </x:row>
    <x:row r="8">
      <x:c r="A8" s="93" t="str">
        <x:v>5</x:v>
      </x:c>
      <x:c r="B8" t="str">
        <x:v>Weeks 4–8</x:v>
      </x:c>
      <x:c r="C8" t="str">
        <x:v>Funnel + CRM</x:v>
      </x:c>
      <x:c r="D8" s="64" t="str">
        <x:v>Assessment flow, tagging, lead routing, tracking, consent capture, email/SMS basics</x:v>
      </x:c>
      <x:c r="E8" s="64" t="str">
        <x:v>RevOps</x:v>
      </x:c>
      <x:c r="F8" s="64" t="str">
        <x:v>PHI-safe analytics plan</x:v>
      </x:c>
    </x:row>
    <x:row r="9">
      <x:c r="A9" s="93" t="str">
        <x:v>6</x:v>
      </x:c>
      <x:c r="B9" t="str">
        <x:v>Weeks 6–9</x:v>
      </x:c>
      <x:c r="C9" t="str">
        <x:v>Clinical handoff</x:v>
      </x:c>
      <x:c r="D9" s="64" t="str">
        <x:v>Finalize provider-owned intake review process, lab pathway, escalation rules</x:v>
      </x:c>
      <x:c r="E9" s="64" t="str">
        <x:v>Clinical partner</x:v>
      </x:c>
      <x:c r="F9" s="64" t="str">
        <x:v>Provider controls clinical decisions</x:v>
      </x:c>
    </x:row>
    <x:row r="10">
      <x:c r="A10" s="93" t="str">
        <x:v>7</x:v>
      </x:c>
      <x:c r="B10" t="str">
        <x:v>Weeks 8–10</x:v>
      </x:c>
      <x:c r="C10" t="str">
        <x:v>Creative testing</x:v>
      </x:c>
      <x:c r="D10" s="64" t="str">
        <x:v>Mock ad variants, landing page A/B tests, program explainer content</x:v>
      </x:c>
      <x:c r="E10" s="64" t="str">
        <x:v>Growth lead</x:v>
      </x:c>
      <x:c r="F10" s="64" t="str">
        <x:v>Counsel signoff on claims</x:v>
      </x:c>
    </x:row>
    <x:row r="11">
      <x:c r="A11" s="93" t="str">
        <x:v>8</x:v>
      </x:c>
      <x:c r="B11" t="str">
        <x:v>Weeks 10–12</x:v>
      </x:c>
      <x:c r="C11" t="str">
        <x:v>Soft launch</x:v>
      </x:c>
      <x:c r="D11" s="64" t="str">
        <x:v>Low-budget test in priority geography/audience, daily funnel readout</x:v>
      </x:c>
      <x:c r="E11" s="64" t="str">
        <x:v>Marketing + RevOps</x:v>
      </x:c>
      <x:c r="F11" s="64" t="str">
        <x:v>Pause if CAC or compliance issues appear</x:v>
      </x:c>
    </x:row>
    <x:row r="12">
      <x:c r="A12" s="93" t="str">
        <x:v>9</x:v>
      </x:c>
      <x:c r="B12" t="str">
        <x:v>Weeks 13–16</x:v>
      </x:c>
      <x:c r="C12" t="str">
        <x:v>Scale gate</x:v>
      </x:c>
      <x:c r="D12" s="64" t="str">
        <x:v>Increase budget only if assessment quality, CAC, retention, and partner capacity hold</x:v>
      </x:c>
      <x:c r="E12" s="64" t="str">
        <x:v>BASE leadership</x:v>
      </x:c>
      <x:c r="F12" s="64" t="str">
        <x:v>Use proforma KPI gates</x:v>
      </x:c>
    </x:row>
    <x:row r="13">
      <x:c r="A13" s="93" t="str">
        <x:v>10</x:v>
      </x:c>
      <x:c r="B13" t="str">
        <x:v>Month 5+</x:v>
      </x:c>
      <x:c r="C13" t="str">
        <x:v>Expansion</x:v>
      </x:c>
      <x:c r="D13" s="64" t="str">
        <x:v>Add program pages, content library, partner channels, influencer/affiliate guardrails</x:v>
      </x:c>
      <x:c r="E13" s="64" t="str">
        <x:v>Growth lead</x:v>
      </x:c>
      <x:c r="F13" s="64" t="str">
        <x:v>Only after base case metrics validate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22" hidden="0" customWidth="1"/>
    <x:col min="5" max="5" width="48" hidden="0" customWidth="1"/>
    <x:col min="6" max="6" width="28" hidden="0" customWidth="1"/>
    <x:col min="7" max="7" width="20" hidden="0" customWidth="1"/>
    <x:col min="8" max="8" width="48" hidden="0" customWidth="1"/>
  </x:cols>
  <x:sheetData>
    <x:row r="1" ht="30" customHeight="1">
      <x:c r="A1" s="102" t="str">
        <x:v>BASEmd Genuine GTM Marketing Plan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3" ht="24" customHeight="1">
      <x:c r="A3" s="38" t="str">
        <x:v>Stage</x:v>
      </x:c>
      <x:c r="B3" s="38" t="str">
        <x:v>Objective</x:v>
      </x:c>
      <x:c r="C3" s="38" t="str">
        <x:v>Audience</x:v>
      </x:c>
      <x:c r="D3" s="38" t="str">
        <x:v>Channel</x:v>
      </x:c>
      <x:c r="E3" s="38" t="str">
        <x:v>Tactic</x:v>
      </x:c>
      <x:c r="F3" s="38" t="str">
        <x:v>KPI</x:v>
      </x:c>
      <x:c r="G3" s="38" t="str">
        <x:v>Budget Guidance</x:v>
      </x:c>
      <x:c r="H3" s="38" t="str">
        <x:v>Notes</x:v>
      </x:c>
    </x:row>
    <x:row r="4">
      <x:c r="A4" s="50" t="str">
        <x:v>Pre-launch</x:v>
      </x:c>
      <x:c r="B4" s="64" t="str">
        <x:v>Validate demand and compliance</x:v>
      </x:c>
      <x:c r="C4" s="64" t="str">
        <x:v>Existing BASE Performance customers, endurance athletes, local gym/wellness audiences</x:v>
      </x:c>
      <x:c r="D4" s="64" t="str">
        <x:v>Email + organic + landing waitlist</x:v>
      </x:c>
      <x:c r="E4" s="64" t="str">
        <x:v>Announce BASEmd as medically guided performance health, collect interest by goal</x:v>
      </x:c>
      <x:c r="F4" s="64" t="str">
        <x:v>Waitlist CVR, cost per qualified lead</x:v>
      </x:c>
      <x:c r="G4" s="64" t="str">
        <x:v>0–10% of paid budget</x:v>
      </x:c>
      <x:c r="H4" s="64" t="str">
        <x:v>Do not mention prescriptions as guaranteed products.</x:v>
      </x:c>
    </x:row>
    <x:row r="5">
      <x:c r="A5" s="50" t="str">
        <x:v>Launch test</x:v>
      </x:c>
      <x:c r="B5" s="64" t="str">
        <x:v>Find lowest-risk acquisition pockets</x:v>
      </x:c>
      <x:c r="C5" s="64" t="str">
        <x:v>Adults 30–60 interested in weight, labs, performance, men's health</x:v>
      </x:c>
      <x:c r="D5" s="64" t="str">
        <x:v>Google Search</x:v>
      </x:c>
      <x:c r="E5" s="64" t="str">
        <x:v>Intent keywords around metabolic health, hormone evaluation, performance labs</x:v>
      </x:c>
      <x:c r="F5" s="64" t="str">
        <x:v>CAC to completed assessment</x:v>
      </x:c>
      <x:c r="G5" s="64" t="str">
        <x:v>35–45%</x:v>
      </x:c>
      <x:c r="H5" s="64" t="str">
        <x:v>Use certification/healthcare policy review before scale.</x:v>
      </x:c>
    </x:row>
    <x:row r="6">
      <x:c r="A6" s="50" t="str">
        <x:v>Launch test</x:v>
      </x:c>
      <x:c r="B6" s="64" t="str">
        <x:v>Generate qualified traffic at scale</x:v>
      </x:c>
      <x:c r="C6" s="64" t="str">
        <x:v>Lookalike/customer-list audiences where policy allows</x:v>
      </x:c>
      <x:c r="D6" s="64" t="str">
        <x:v>Meta/Instagram</x:v>
      </x:c>
      <x:c r="E6" s="64" t="str">
        <x:v>Educational creative: baseline, labs, provider-guided path, performance health</x:v>
      </x:c>
      <x:c r="F6" s="64" t="str">
        <x:v>Assessment start rate, compliant CTR</x:v>
      </x:c>
      <x:c r="G6" s="64" t="str">
        <x:v>25–35%</x:v>
      </x:c>
      <x:c r="H6" s="64" t="str">
        <x:v>No body-shaming, no before/after, no sensitive attribute callouts.</x:v>
      </x:c>
    </x:row>
    <x:row r="7">
      <x:c r="A7" s="50" t="str">
        <x:v>Launch test</x:v>
      </x:c>
      <x:c r="B7" s="64" t="str">
        <x:v>Build trust and educate</x:v>
      </x:c>
      <x:c r="C7" s="64" t="str">
        <x:v>Performance consumers researching GLP-1, testosterone, biomarkers</x:v>
      </x:c>
      <x:c r="D7" s="64" t="str">
        <x:v>SEO + content</x:v>
      </x:c>
      <x:c r="E7" s="64" t="str">
        <x:v>Guides, FAQs, clinician-reviewed explainers, program pages</x:v>
      </x:c>
      <x:c r="F7" s="64" t="str">
        <x:v>Organic impressions, assisted conversions</x:v>
      </x:c>
      <x:c r="G7" s="64" t="str">
        <x:v>10–15%</x:v>
      </x:c>
      <x:c r="H7" s="64" t="str">
        <x:v>Content must be reviewed for medical claims.</x:v>
      </x:c>
    </x:row>
    <x:row r="8">
      <x:c r="A8" s="50" t="str">
        <x:v>Launch test</x:v>
      </x:c>
      <x:c r="B8" s="64" t="str">
        <x:v>Convert warm prospects</x:v>
      </x:c>
      <x:c r="C8" s="64" t="str">
        <x:v>Assessment starters and waitlist</x:v>
      </x:c>
      <x:c r="D8" s="64" t="str">
        <x:v>Email/SMS</x:v>
      </x:c>
      <x:c r="E8" s="64" t="str">
        <x:v>Nurture sequence: how it works, clinical review, labs, partner fulfillment, FAQs</x:v>
      </x:c>
      <x:c r="F8" s="64" t="str">
        <x:v>Completion rate, booked evaluation rate</x:v>
      </x:c>
      <x:c r="G8" s="64" t="str">
        <x:v>5–10%</x:v>
      </x:c>
      <x:c r="H8" s="64" t="str">
        <x:v>Consent and PHI restrictions apply.</x:v>
      </x:c>
    </x:row>
    <x:row r="9">
      <x:c r="A9" s="50" t="str">
        <x:v>Scale</x:v>
      </x:c>
      <x:c r="B9" s="64" t="str">
        <x:v>Improve conversion efficiency</x:v>
      </x:c>
      <x:c r="C9" s="64" t="str">
        <x:v>High-intent retargetable visitors where compliant</x:v>
      </x:c>
      <x:c r="D9" s="64" t="str">
        <x:v>Retargeting</x:v>
      </x:c>
      <x:c r="E9" s="64" t="str">
        <x:v>Generic brand/value retargeting only; avoid health-status retargeting</x:v>
      </x:c>
      <x:c r="F9" s="64" t="str">
        <x:v>Return visits, assessment completions</x:v>
      </x:c>
      <x:c r="G9" s="64" t="str">
        <x:v>0–10%</x:v>
      </x:c>
      <x:c r="H9" s="64" t="str">
        <x:v>Requires privacy counsel approval.</x:v>
      </x:c>
    </x:row>
    <x:row r="10">
      <x:c r="A10" s="50" t="str">
        <x:v>Scale</x:v>
      </x:c>
      <x:c r="B10" s="64" t="str">
        <x:v>Leverage BASE credibility</x:v>
      </x:c>
      <x:c r="C10" s="64" t="str">
        <x:v>Gyms, coaches, races, endurance communities</x:v>
      </x:c>
      <x:c r="D10" s="64" t="str">
        <x:v>Partnerships</x:v>
      </x:c>
      <x:c r="E10" s="64" t="str">
        <x:v>Coach/gym webinar, lab-screening days, education events</x:v>
      </x:c>
      <x:c r="F10" s="64" t="str">
        <x:v>Partner leads, conversion rate</x:v>
      </x:c>
      <x:c r="G10" s="64" t="str">
        <x:v>10–20%</x:v>
      </x:c>
      <x:c r="H10" s="64" t="str">
        <x:v>Use flat marketing/sponsorship economics, not per-Rx economics.</x:v>
      </x:c>
    </x:row>
    <x:row r="11">
      <x:c r="A11" s="50" t="str">
        <x:v>Scale</x:v>
      </x:c>
      <x:c r="B11" s="64" t="str">
        <x:v>Build authority</x:v>
      </x:c>
      <x:c r="C11" s="64" t="str">
        <x:v>High-income performance adults</x:v>
      </x:c>
      <x:c r="D11" s="64" t="str">
        <x:v>YouTube / long-form video</x:v>
      </x:c>
      <x:c r="E11" s="64" t="str">
        <x:v>Founder/clinician education videos on baseline testing and performance health</x:v>
      </x:c>
      <x:c r="F11" s="64" t="str">
        <x:v>View-through assists, time on page</x:v>
      </x:c>
      <x:c r="G11" s="64" t="str">
        <x:v>5–15%</x:v>
      </x:c>
      <x:c r="H11" s="64" t="str">
        <x:v>No drug-specific claims without review.</x:v>
      </x:c>
    </x:row>
    <x:row r="12">
      <x:c r="A12" s="50" t="str">
        <x:v>Optimize</x:v>
      </x:c>
      <x:c r="B12" s="64" t="str">
        <x:v>Scale only profitable segments</x:v>
      </x:c>
      <x:c r="C12" s="64" t="str">
        <x:v>Validated audiences</x:v>
      </x:c>
      <x:c r="D12" s="64" t="str">
        <x:v>Portfolio optimization</x:v>
      </x:c>
      <x:c r="E12" s="64" t="str">
        <x:v>Shift budget to channels with highest completed assessment quality and retention</x:v>
      </x:c>
      <x:c r="F12" s="64" t="str">
        <x:v>CAC payback, EBITDA</x:v>
      </x:c>
      <x:c r="G12" s="64" t="str">
        <x:v>Reallocate monthly</x:v>
      </x:c>
      <x:c r="H12" s="64" t="str">
        <x:v>Budget changes should be reflected in Inputs!B5.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36" hidden="0" customWidth="1"/>
    <x:col min="5" max="5" width="30" hidden="0" customWidth="1"/>
    <x:col min="6" max="6" width="60" hidden="0" customWidth="1"/>
    <x:col min="7" max="7" width="30" hidden="0" customWidth="1"/>
    <x:col min="8" max="8" width="18" hidden="0" customWidth="1"/>
    <x:col min="9" max="9" width="42" hidden="0" customWidth="1"/>
    <x:col min="10" max="10" width="54" hidden="0" customWidth="1"/>
  </x:cols>
  <x:sheetData>
    <x:row r="1" ht="30" customHeight="1">
      <x:c r="A1" s="102" t="str">
        <x:v>BASEmd Mock Ads + Creative Testing Matrix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3" ht="24" customHeight="1">
      <x:c r="A3" s="38" t="str">
        <x:v>Ad ID</x:v>
      </x:c>
      <x:c r="B3" s="38" t="str">
        <x:v>Channel</x:v>
      </x:c>
      <x:c r="C3" s="38" t="str">
        <x:v>Objective</x:v>
      </x:c>
      <x:c r="D3" s="38" t="str">
        <x:v>Audience</x:v>
      </x:c>
      <x:c r="E3" s="38" t="str">
        <x:v>Hook</x:v>
      </x:c>
      <x:c r="F3" s="38" t="str">
        <x:v>Primary Text</x:v>
      </x:c>
      <x:c r="G3" s="38" t="str">
        <x:v>Headline</x:v>
      </x:c>
      <x:c r="H3" s="38" t="str">
        <x:v>CTA</x:v>
      </x:c>
      <x:c r="I3" s="38" t="str">
        <x:v>Visual Direction</x:v>
      </x:c>
      <x:c r="J3" s="38" t="str">
        <x:v>Compliance Guardrail</x:v>
      </x:c>
    </x:row>
    <x:row r="4">
      <x:c r="A4" s="93" t="str">
        <x:v>A1</x:v>
      </x:c>
      <x:c r="B4" s="64" t="str">
        <x:v>Meta/Instagram</x:v>
      </x:c>
      <x:c r="C4" s="64" t="str">
        <x:v>Assessment starts</x:v>
      </x:c>
      <x:c r="D4" s="64" t="str">
        <x:v>Performance-driven adults 30–55</x:v>
      </x:c>
      <x:c r="E4" s="64" t="str">
        <x:v>Build your next baseline.</x:v>
      </x:c>
      <x:c r="F4" s="64" t="str">
        <x:v>Your health data should work as hard as you do. BASEmd connects you with independent licensed clinicians for performance labs, weight management, hormone evaluation, and longevity-focused support.</x:v>
      </x:c>
      <x:c r="G4" s="64" t="str">
        <x:v>Performance health. Medically guided.</x:v>
      </x:c>
      <x:c r="H4" s="64" t="str">
        <x:v>Take Assessment</x:v>
      </x:c>
      <x:c r="I4" s="64" t="str">
        <x:v>Athletic adult in clean lab/gym environment; red BASEmd accent.</x:v>
      </x:c>
      <x:c r="J4" s="64" t="str">
        <x:v>No promise of medication, no weight-loss guarantee, no before/after.</x:v>
      </x:c>
    </x:row>
    <x:row r="5">
      <x:c r="A5" s="93" t="str">
        <x:v>A2</x:v>
      </x:c>
      <x:c r="B5" s="64" t="str">
        <x:v>Google Search</x:v>
      </x:c>
      <x:c r="C5" s="64" t="str">
        <x:v>High-intent lead capture</x:v>
      </x:c>
      <x:c r="D5" s="64" t="str">
        <x:v>Weight management searchers</x:v>
      </x:c>
      <x:c r="E5" s="64" t="str">
        <x:v>Clinician-reviewed weight support.</x:v>
      </x:c>
      <x:c r="F5" s="64" t="str">
        <x:v>Start with a confidential assessment and provider review. If clinically appropriate, independent licensed clinicians may recommend labs or treatment options through partner pathways.</x:v>
      </x:c>
      <x:c r="G5" s="64" t="str">
        <x:v>Medical weight management review</x:v>
      </x:c>
      <x:c r="H5" s="64" t="str">
        <x:v>Start Assessment</x:v>
      </x:c>
      <x:c r="I5" s="64" t="str">
        <x:v>Landing page extension with program cards.</x:v>
      </x:c>
      <x:c r="J5" s="64" t="str">
        <x:v>Avoid saying users will receive GLP-1s; use evaluation language.</x:v>
      </x:c>
    </x:row>
    <x:row r="6">
      <x:c r="A6" s="93" t="str">
        <x:v>A3</x:v>
      </x:c>
      <x:c r="B6" s="64" t="str">
        <x:v>Meta/Instagram</x:v>
      </x:c>
      <x:c r="C6" s="64" t="str">
        <x:v>Hormone evaluation interest</x:v>
      </x:c>
      <x:c r="D6" s="64" t="str">
        <x:v>Men 35–60, performance/longevity interests</x:v>
      </x:c>
      <x:c r="E6" s="64" t="str">
        <x:v>Know your numbers before guessing.</x:v>
      </x:c>
      <x:c r="F6" s="64" t="str">
        <x:v>Energy, recovery, body composition, and libido concerns should start with data. BASEmd routes eligible adults to lab-informed provider evaluation.</x:v>
      </x:c>
      <x:c r="G6" s="64" t="str">
        <x:v>Hormone optimization starts with labs.</x:v>
      </x:c>
      <x:c r="H6" s="64" t="str">
        <x:v>Check Eligibility</x:v>
      </x:c>
      <x:c r="I6" s="64" t="str">
        <x:v>Black/red lab vial or training visual.</x:v>
      </x:c>
      <x:c r="J6" s="64" t="str">
        <x:v>No claims that testosterone improves performance; no diagnosis in ad.</x:v>
      </x:c>
    </x:row>
    <x:row r="7">
      <x:c r="A7" s="93" t="str">
        <x:v>A4</x:v>
      </x:c>
      <x:c r="B7" s="64" t="str">
        <x:v>YouTube Pre-roll</x:v>
      </x:c>
      <x:c r="C7" s="64" t="str">
        <x:v>Education</x:v>
      </x:c>
      <x:c r="D7" s="64" t="str">
        <x:v>Longevity/performance audiences</x:v>
      </x:c>
      <x:c r="E7" s="64" t="str">
        <x:v>The baseline beats the guess.</x:v>
      </x:c>
      <x:c r="F7" s="64" t="str">
        <x:v>In 30 seconds: how BASEmd helps adults move from symptoms and assumptions to biomarker-informed, provider-guided next steps.</x:v>
      </x:c>
      <x:c r="G7" s="64" t="str">
        <x:v>Build from your baseline.</x:v>
      </x:c>
      <x:c r="H7" s="64" t="str">
        <x:v>Learn More</x:v>
      </x:c>
      <x:c r="I7" s="64" t="str">
        <x:v>Founder/coach voiceover with performance lab visuals.</x:v>
      </x:c>
      <x:c r="J7" s="64" t="str">
        <x:v>Education-first; no prescription or outcome claims.</x:v>
      </x:c>
    </x:row>
    <x:row r="8">
      <x:c r="A8" s="93" t="str">
        <x:v>A5</x:v>
      </x:c>
      <x:c r="B8" s="64" t="str">
        <x:v>Email</x:v>
      </x:c>
      <x:c r="C8" s="64" t="str">
        <x:v>Waitlist conversion</x:v>
      </x:c>
      <x:c r="D8" s="64" t="str">
        <x:v>Existing BASE customers</x:v>
      </x:c>
      <x:c r="E8" s="64" t="str">
        <x:v>BASE Performance is expanding the system.</x:v>
      </x:c>
      <x:c r="F8" s="64" t="str">
        <x:v>BASEmd brings the same performance mindset to medically guided health access: labs, weight, hormones, longevity education, and provider-reviewed pathways.</x:v>
      </x:c>
      <x:c r="G8" s="64" t="str">
        <x:v>Your next BASE starts here.</x:v>
      </x:c>
      <x:c r="H8" s="64" t="str">
        <x:v>Join Waitlist</x:v>
      </x:c>
      <x:c r="I8" s="64" t="str">
        <x:v>BASEmd logo, black/red branded email header.</x:v>
      </x:c>
      <x:c r="J8" s="64" t="str">
        <x:v>Make clear BASEmd is not the medical provider.</x:v>
      </x:c>
    </x:row>
    <x:row r="9">
      <x:c r="A9" s="93" t="str">
        <x:v>A6</x:v>
      </x:c>
      <x:c r="B9" s="64" t="str">
        <x:v>LinkedIn</x:v>
      </x:c>
      <x:c r="C9" s="64" t="str">
        <x:v>Partner recruitment</x:v>
      </x:c>
      <x:c r="D9" s="64" t="str">
        <x:v>Gyms, clinics, coaches, wellness partners</x:v>
      </x:c>
      <x:c r="E9" s="64" t="str">
        <x:v>Add a medically guided performance lane.</x:v>
      </x:c>
      <x:c r="F9" s="64" t="str">
        <x:v>BASEmd is building a compliant partner ecosystem for adults seeking structured performance health access without BASE holding inventory or making clinical decisions.</x:v>
      </x:c>
      <x:c r="G9" s="64" t="str">
        <x:v>Partner with BASEmd</x:v>
      </x:c>
      <x:c r="H9" s="64" t="str">
        <x:v>Partner Inquiry</x:v>
      </x:c>
      <x:c r="I9" s="64" t="str">
        <x:v>Professional partnership creative; no drug imagery.</x:v>
      </x:c>
      <x:c r="J9" s="64" t="str">
        <x:v>No per-prescription revenue promise.</x:v>
      </x:c>
    </x:row>
    <x:row r="10">
      <x:c r="A10" s="93" t="str">
        <x:v>A7</x:v>
      </x:c>
      <x:c r="B10" s="64" t="str">
        <x:v>Meta/Instagram</x:v>
      </x:c>
      <x:c r="C10" s="64" t="str">
        <x:v>Labs program</x:v>
      </x:c>
      <x:c r="D10" s="64" t="str">
        <x:v>Adults interested in fitness and recovery</x:v>
      </x:c>
      <x:c r="E10" s="64" t="str">
        <x:v>Your training has data. Your health should too.</x:v>
      </x:c>
      <x:c r="F10" s="64" t="str">
        <x:v>Explore performance lab pathways designed to help adults understand metabolic, hormonal, recovery, and wellness baselines.</x:v>
      </x:c>
      <x:c r="G10" s="64" t="str">
        <x:v>Performance labs for serious adults.</x:v>
      </x:c>
      <x:c r="H10" s="64" t="str">
        <x:v>View Lab Options</x:v>
      </x:c>
      <x:c r="I10" s="64" t="str">
        <x:v>Athlete + lab dashboard abstract.</x:v>
      </x:c>
      <x:c r="J10" s="64" t="str">
        <x:v>Do not imply lab results guarantee treatment.</x:v>
      </x:c>
    </x:row>
    <x:row r="11">
      <x:c r="A11" s="93" t="str">
        <x:v>A8</x:v>
      </x:c>
      <x:c r="B11" s="64" t="str">
        <x:v>Retargeting — restricted use</x:v>
      </x:c>
      <x:c r="C11" s="64" t="str">
        <x:v>Return visitors</x:v>
      </x:c>
      <x:c r="D11" s="64" t="str">
        <x:v>Site visitors only if privacy-approved</x:v>
      </x:c>
      <x:c r="E11" s="64" t="str">
        <x:v>Still researching BASEmd?</x:v>
      </x:c>
      <x:c r="F11" s="64" t="str">
        <x:v>Learn how the assessment, provider evaluation, and partner fulfillment pathway works before any treatment decision is made.</x:v>
      </x:c>
      <x:c r="G11" s="64" t="str">
        <x:v>Simple. Private. Provider-guided.</x:v>
      </x:c>
      <x:c r="H11" s="64" t="str">
        <x:v>How It Works</x:v>
      </x:c>
      <x:c r="I11" s="64" t="str">
        <x:v>Generic brand creative; no sensitive condition references.</x:v>
      </x:c>
      <x:c r="J11" s="64" t="str">
        <x:v>Use only after privacy counsel approves tracking setup.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72" hidden="0" customWidth="1"/>
    <x:col min="4" max="4" width="58" hidden="0" customWidth="1"/>
    <x:col min="5" max="5" width="24" hidden="0" customWidth="1"/>
  </x:cols>
  <x:sheetData>
    <x:row r="1" ht="30" customHeight="1">
      <x:c r="A1" s="102" t="str">
        <x:v>Assumption + Compliance Sources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</x:row>
    <x:row r="3" ht="24" customHeight="1">
      <x:c r="A3" s="38" t="str">
        <x:v>Topic</x:v>
      </x:c>
      <x:c r="B3" s="38" t="str">
        <x:v>Source</x:v>
      </x:c>
      <x:c r="C3" s="38" t="str">
        <x:v>URL</x:v>
      </x:c>
      <x:c r="D3" s="38" t="str">
        <x:v>Use in Model / Handoff</x:v>
      </x:c>
      <x:c r="E3" s="38" t="str">
        <x:v>Owner to Validate</x:v>
      </x:c>
    </x:row>
    <x:row r="4">
      <x:c r="A4" s="50" t="str">
        <x:v>GLP-1 compounding posture</x:v>
      </x:c>
      <x:c r="B4" t="str">
        <x:v>FDA — GLP-1 supply/compounding policies</x:v>
      </x:c>
      <x:c r="C4" s="96" t="str">
        <x:v>https://www.fda.gov/drugs/drug-alerts-and-statements/fda-clarifies-policies-compounders-national-glp-1-supply-begins-stabilize</x:v>
      </x:c>
      <x:c r="D4" s="64" t="str">
        <x:v>Ad copy and program pages use evaluation language, not retail drug-sale language.</x:v>
      </x:c>
      <x:c r="E4" s="64" t="str">
        <x:v>Healthcare counsel</x:v>
      </x:c>
    </x:row>
    <x:row r="5">
      <x:c r="A5" s="50" t="str">
        <x:v>FDA drug shortage compounding</x:v>
      </x:c>
      <x:c r="B5" t="str">
        <x:v>FDA — Compounding when drugs are on FDA shortage list</x:v>
      </x:c>
      <x:c r="C5" s="96" t="str">
        <x:v>https://www.fda.gov/drugs/human-drug-compounding/compounding-when-drugs-are-fdas-drug-shortages-list</x:v>
      </x:c>
      <x:c r="D5" s="64" t="str">
        <x:v>GLP-1/compounded medication claims require counsel/pharmacy validation.</x:v>
      </x:c>
      <x:c r="E5" s="64" t="str">
        <x:v>Healthcare counsel</x:v>
      </x:c>
    </x:row>
    <x:row r="6">
      <x:c r="A6" s="50" t="str">
        <x:v>Health claims substantiation</x:v>
      </x:c>
      <x:c r="B6" t="str">
        <x:v>FTC — Health Products Compliance Guidance</x:v>
      </x:c>
      <x:c r="C6" s="96" t="str">
        <x:v>https://www.ftc.gov/business-guidance/resources/health-products-compliance-guidance</x:v>
      </x:c>
      <x:c r="D6" s="64" t="str">
        <x:v>Mock ads avoid guarantees, unsupported health claims, and aggressive testimonial framing.</x:v>
      </x:c>
      <x:c r="E6" s="64" t="str">
        <x:v>Marketing + counsel</x:v>
      </x:c>
    </x:row>
    <x:row r="7">
      <x:c r="A7" s="50" t="str">
        <x:v>HIPAA tracking risk</x:v>
      </x:c>
      <x:c r="B7" t="str">
        <x:v>HHS OCR — Use of Online Tracking Technologies</x:v>
      </x:c>
      <x:c r="C7" s="96" t="str">
        <x:v>https://www.hhs.gov/hipaa/for-professionals/privacy/guidance/hipaa-online-tracking/index.html</x:v>
      </x:c>
      <x:c r="D7" s="64" t="str">
        <x:v>Tracking/retargeting must be PHI-safe and counsel-approved.</x:v>
      </x:c>
      <x:c r="E7" s="64" t="str">
        <x:v>Privacy counsel</x:v>
      </x:c>
    </x:row>
    <x:row r="8">
      <x:c r="A8" s="50" t="str">
        <x:v>Google health ads</x:v>
      </x:c>
      <x:c r="B8" t="str">
        <x:v>Google Ads — Healthcare and medicines policy</x:v>
      </x:c>
      <x:c r="C8" s="96" t="str">
        <x:v>https://support.google.com/adspolicy/answer/176031?hl=en</x:v>
      </x:c>
      <x:c r="D8" s="64" t="str">
        <x:v>Search campaigns may require certification/limited eligibility.</x:v>
      </x:c>
      <x:c r="E8" s="64" t="str">
        <x:v>Growth lead</x:v>
      </x:c>
    </x:row>
    <x:row r="9">
      <x:c r="A9" s="50" t="str">
        <x:v>Unapproved substances ads</x:v>
      </x:c>
      <x:c r="B9" t="str">
        <x:v>Google Ads — Unapproved substances policy</x:v>
      </x:c>
      <x:c r="C9" s="96" t="str">
        <x:v>https://support.google.com/adspolicy/answer/15595718?hl=en</x:v>
      </x:c>
      <x:c r="D9" s="64" t="str">
        <x:v>Peptide/performance-enhancer claims must avoid prohibited substance promotion.</x:v>
      </x:c>
      <x:c r="E9" s="64" t="str">
        <x:v>Growth lead + counsel</x:v>
      </x:c>
    </x:row>
    <x:row r="10">
      <x:c r="A10" s="50" t="str">
        <x:v>Model site reference</x:v>
      </x:c>
      <x:c r="B10" t="str">
        <x:v>EllieMD homepage</x:v>
      </x:c>
      <x:c r="C10" s="96" t="str">
        <x:v>https://elliemd.com/</x:v>
      </x:c>
      <x:c r="D10" s="64" t="str">
        <x:v>Use for conversion architecture only; do not copy text, code, or images.</x:v>
      </x:c>
      <x:c r="E10" s="64" t="str">
        <x:v>Creative lead</x:v>
      </x:c>
    </x:row>
    <x:row r="11">
      <x:c r="A11" s="50" t="str">
        <x:v>Hosting path</x:v>
      </x:c>
      <x:c r="B11" t="str">
        <x:v>Strategic 500 deployment path</x:v>
      </x:c>
      <x:c r="C11" s="96" t="str">
        <x:v>https://strategic500.com/BASEmd/</x:v>
      </x:c>
      <x:c r="D11" s="64" t="str">
        <x:v>Production target URL for website package.</x:v>
      </x:c>
      <x:c r="E11" s="64" t="str">
        <x:v>Web lead</x:v>
      </x:c>
    </x:row>
  </x:sheetData>
  <x:mergeCells>
    <x:mergeCell ref="A1:E1"/>
  </x:mergeCells>
  <x:pageMargins left="0.7" right="0.7" top="0.75" bottom="0.75" header="0.3" footer="0.3"/>
</x:worksheet>
</file>